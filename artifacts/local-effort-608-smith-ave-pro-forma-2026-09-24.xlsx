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Inputs" sheetId="2" r:id="rId2"/>
    <sheet name="Historical" sheetId="3" r:id="rId3"/>
    <sheet name="Model - Downside" sheetId="4" r:id="rId4"/>
    <sheet name="Model - Base" sheetId="5" r:id="rId5"/>
    <sheet name="Model - Upside" sheetId="6" r:id="rId6"/>
    <sheet name="Dashboard" sheetId="7" r:id="rId7"/>
    <sheet name="Annual Summary" sheetId="8" r:id="rId8"/>
    <sheet name="Sensitivity" sheetId="9" r:id="rId9"/>
    <sheet name="Sources" sheetId="10" r:id="rId10"/>
  </sheets>
  <definedNames>
    <definedName name="_xlnm._FilterDatabase" localSheetId="2" hidden="1">Historical!$A$5:$K$13</definedName>
    <definedName name="_xlnm._FilterDatabase" localSheetId="1" hidden="1">Inputs!$A$7:$G$59</definedName>
    <definedName name="_xlnm._FilterDatabase" localSheetId="9" hidden="1">Sources!$A$4:$E$14</definedName>
    <definedName name="_xlnm.Print_Area" localSheetId="7">'Annual Summary'!$A$1:$E$27</definedName>
    <definedName name="_xlnm.Print_Area" localSheetId="6">Dashboard!$A$1:$P$62</definedName>
    <definedName name="_xlnm.Print_Area" localSheetId="0">Guide!$A$1:$H$33</definedName>
    <definedName name="_xlnm.Print_Area" localSheetId="2">Historical!$A$1:$K$20</definedName>
    <definedName name="_xlnm.Print_Area" localSheetId="1">Inputs!$A$1:$G$59</definedName>
    <definedName name="_xlnm.Print_Area" localSheetId="4">'Model - Base'!$A$1:$AU$49</definedName>
    <definedName name="_xlnm.Print_Area" localSheetId="3">'Model - Downside'!$A$1:$AU$49</definedName>
    <definedName name="_xlnm.Print_Area" localSheetId="5">'Model - Upside'!$A$1:$AU$49</definedName>
    <definedName name="_xlnm.Print_Area" localSheetId="8">Sensitivity!$A$1:$H$39</definedName>
    <definedName name="_xlnm.Print_Area" localSheetId="9">Sources!$A$1:$E$19</definedName>
    <definedName name="_xlnm.Print_Titles" localSheetId="7">'Annual Summary'!$5:$7</definedName>
    <definedName name="_xlnm.Print_Titles" localSheetId="2">Historical!$5:$5</definedName>
    <definedName name="_xlnm.Print_Titles" localSheetId="1">Inputs!$7:$7</definedName>
    <definedName name="_xlnm.Print_Titles" localSheetId="4">'Model - Base'!$1:$5</definedName>
    <definedName name="_xlnm.Print_Titles" localSheetId="3">'Model - Downside'!$1:$5</definedName>
    <definedName name="_xlnm.Print_Titles" localSheetId="5">'Model - Upside'!$1:$5</definedName>
    <definedName name="_xlnm.Print_Titles" localSheetId="9">Sources!$4:$4</definedName>
  </definedNames>
  <calcPr calcId="124519" fullCalcOnLoad="1"/>
</workbook>
</file>

<file path=xl/sharedStrings.xml><?xml version="1.0" encoding="utf-8"?>
<sst xmlns="http://schemas.openxmlformats.org/spreadsheetml/2006/main" count="811" uniqueCount="380">
  <si>
    <t>608 Smith Avenue Pro Forma — Guide</t>
  </si>
  <si>
    <t>Decision model for Oct 2026–May 2030. Base is the default scenario; all yellow cells on Inputs are editable.</t>
  </si>
  <si>
    <t>Purpose</t>
  </si>
  <si>
    <t>Use the model to assess Smith occupancy, founder compensation, the optional storefront, and the conditional second venue.</t>
  </si>
  <si>
    <t>How to use</t>
  </si>
  <si>
    <t>Action</t>
  </si>
  <si>
    <t>1</t>
  </si>
  <si>
    <t>Choose Downside, Base, or Upside in Inputs!B4. Dashboard and Annual Summary follow that selection.</t>
  </si>
  <si>
    <t>2</t>
  </si>
  <si>
    <t>Edit only yellow scenario cells. Formula cells carry cached values and recalculate when opened in Excel.</t>
  </si>
  <si>
    <t>3</t>
  </si>
  <si>
    <t>Review Smith occupancy and total labor after the six-month storefront ramp, then inspect cash and sensitivities.</t>
  </si>
  <si>
    <t>4</t>
  </si>
  <si>
    <t>Refresh available cash and resolve founder cash timing and pre-model founder deferred compensation before financing decisions.</t>
  </si>
  <si>
    <t>Editable input legend</t>
  </si>
  <si>
    <t>Yellow = editable input; blue/white = formula or explanatory output.</t>
  </si>
  <si>
    <t>Editable input</t>
  </si>
  <si>
    <t>Change these assumptions on Inputs; do not overwrite model formulas.</t>
  </si>
  <si>
    <t>Classification</t>
  </si>
  <si>
    <t>Meaning</t>
  </si>
  <si>
    <t>Observed</t>
  </si>
  <si>
    <t>Historical or snapshot value reported from source records.</t>
  </si>
  <si>
    <t>Owner-defined</t>
  </si>
  <si>
    <t>Fact or direction provided by the owner on or before 2026-09-24.</t>
  </si>
  <si>
    <t>Modeled</t>
  </si>
  <si>
    <t>Editable planning assumption, conversion, rate, or scenario choice.</t>
  </si>
  <si>
    <t>Unresolved</t>
  </si>
  <si>
    <t>Required fact not yet established; the shown value is an explicit modeled default.</t>
  </si>
  <si>
    <t>Core mechanics</t>
  </si>
  <si>
    <t>Smith storefront sales solve to the occupancy target after meal prep and frozen pizza, then ramp 35% / 50% / 65% / 80% / 90% / 100% over six months.</t>
  </si>
  <si>
    <t>Airbnb is nonfood revenue. Events include $1,350 food revenue per event. Personal-chef, Smith meal prep, storefront, and frozen pizza are food revenue.</t>
  </si>
  <si>
    <t>Food COGS applies only to food revenue; Airbnb variable cost applies only to Airbnb; payment fees are 3% of non-Airbnb revenue.</t>
  </si>
  <si>
    <t>Founder economic compensation is $7,500/month in total labor. Current cash salary timing, opening deferred balance, and backpay are separate editable inputs.</t>
  </si>
  <si>
    <t>Founder cash timing and any pre-model deferred balance/back-pay remain unresolved. Oct 2026 cash start and zero backpay are modeled defaults—not owner facts; opening cash is observed.</t>
  </si>
  <si>
    <t>Happy Monday sandwiches are excluded. Frozen pizza only is modeled, and all pizza is produced at Hopkins. Smith houses meal prep.</t>
  </si>
  <si>
    <t>Important disclosure</t>
  </si>
  <si>
    <t>This is a planning financial model, not tax, legal, or accounting advice. It excludes debt service and financing, income and sales taxes, inventory working capital, security deposits, and capital raises. Opening cash is a one-account snapshot, not complete liquidity. Validate assumptions with qualified advisers.</t>
  </si>
  <si>
    <t>Inputs — Scenario Assumptions</t>
  </si>
  <si>
    <t>Select a scenario, then edit yellow cells. Classifications distinguish sourced facts from modeled or unresolved values.</t>
  </si>
  <si>
    <t>Selected Scenario</t>
  </si>
  <si>
    <t>Base</t>
  </si>
  <si>
    <t>Base is the default. Dashboard and Annual Summary formulas follow Inputs!B4.</t>
  </si>
  <si>
    <t>Classification vocabulary: Observed | Owner-defined | Modeled | Unresolved. Yellow cells are editable inputs.</t>
  </si>
  <si>
    <t>Assumption</t>
  </si>
  <si>
    <t>Unit</t>
  </si>
  <si>
    <t>Downside</t>
  </si>
  <si>
    <t>Upside</t>
  </si>
  <si>
    <t>Rationale / provenance</t>
  </si>
  <si>
    <t>Smith Utilities</t>
  </si>
  <si>
    <t>$/month</t>
  </si>
  <si>
    <t>Transfers to Local Effort in Mar 2027.</t>
  </si>
  <si>
    <t>Second Venue Activation</t>
  </si>
  <si>
    <t>0/1</t>
  </si>
  <si>
    <t>1 activates Jan 2027 revenue and $5,000 monthly rent; 0 declines the post-trial venue.</t>
  </si>
  <si>
    <t>Second Venue Trial Scale</t>
  </si>
  <si>
    <t>% of run-rate</t>
  </si>
  <si>
    <t>Scales Oct–Dec 2026 trial revenue; no trial rent was supplied.</t>
  </si>
  <si>
    <t>Airbnb Weekends / Month</t>
  </si>
  <si>
    <t>weekends</t>
  </si>
  <si>
    <t>Booked weekends at $2,400 each; Airbnb is nonfood revenue.</t>
  </si>
  <si>
    <t>Airbnb Variable Cost</t>
  </si>
  <si>
    <t>% Airbnb</t>
  </si>
  <si>
    <t>Variable cost applies only to Airbnb revenue.</t>
  </si>
  <si>
    <t>Small Events / Month</t>
  </si>
  <si>
    <t>events</t>
  </si>
  <si>
    <t>Second-venue event count at activated run-rate.</t>
  </si>
  <si>
    <t>Small Event Revenue / Event</t>
  </si>
  <si>
    <t>$/event</t>
  </si>
  <si>
    <t>$2,100 gross event revenue; $1,350 is food revenue.</t>
  </si>
  <si>
    <t>Event Food Revenue / Event</t>
  </si>
  <si>
    <t>Food component used for food COGS; remainder is nonfood venue revenue.</t>
  </si>
  <si>
    <t>Personal Chef Packages / Month</t>
  </si>
  <si>
    <t>packages</t>
  </si>
  <si>
    <t>Activated second-venue run-rate.</t>
  </si>
  <si>
    <t>Personal Chef Price</t>
  </si>
  <si>
    <t>$/package</t>
  </si>
  <si>
    <t>Modeled package price; personal-chef revenue is food revenue.</t>
  </si>
  <si>
    <t>Meal Prep Starting Monthly Revenue</t>
  </si>
  <si>
    <t>$4,334.42 monthly starting point derived from the owner-provided 4001 dollars per 28-day anchor.</t>
  </si>
  <si>
    <t>Meal Prep Monthly Growth</t>
  </si>
  <si>
    <t>%/month</t>
  </si>
  <si>
    <t>Compounds monthly from Oct 2026.</t>
  </si>
  <si>
    <t>Frozen Pizza Start Units</t>
  </si>
  <si>
    <t>units/month</t>
  </si>
  <si>
    <t>Modeled units; all pizza is produced at Hopkins.</t>
  </si>
  <si>
    <t>Pizza Realized Price</t>
  </si>
  <si>
    <t>$/unit</t>
  </si>
  <si>
    <t>Frozen pizza only; Happy Monday sandwiches are excluded.</t>
  </si>
  <si>
    <t>Pizza Monthly Unit Growth</t>
  </si>
  <si>
    <t>Compounds monthly.</t>
  </si>
  <si>
    <t>Storefront Open Date</t>
  </si>
  <si>
    <t>date</t>
  </si>
  <si>
    <t>Optional storefront opens no earlier than Mar 2027.</t>
  </si>
  <si>
    <t>Smith Occupancy Target</t>
  </si>
  <si>
    <t>% Smith revenue</t>
  </si>
  <si>
    <t>Target used to solve required Smith revenue and storefront sales.</t>
  </si>
  <si>
    <t>Storefront Average Ticket</t>
  </si>
  <si>
    <t>$/transaction</t>
  </si>
  <si>
    <t>Used only for required transactions/day.</t>
  </si>
  <si>
    <t>Open Days / Month</t>
  </si>
  <si>
    <t>days</t>
  </si>
  <si>
    <t>Food COGS Rate</t>
  </si>
  <si>
    <t>% food revenue</t>
  </si>
  <si>
    <t>20–22% target applied only to food revenue, including frozen pizza.</t>
  </si>
  <si>
    <t>Direct Paid Labor Pre-Open</t>
  </si>
  <si>
    <t>% total revenue</t>
  </si>
  <si>
    <t>Direct paid labor can be high early; founder economic compensation is separate.</t>
  </si>
  <si>
    <t>Direct Paid Labor Ramp</t>
  </si>
  <si>
    <t>Applies during the six storefront ramp months.</t>
  </si>
  <si>
    <t>Direct Paid Labor Mature</t>
  </si>
  <si>
    <t>Applies after the six-month ramp.</t>
  </si>
  <si>
    <t>Direct Payroll Burden</t>
  </si>
  <si>
    <t>% direct labor</t>
  </si>
  <si>
    <t>Burden on direct paid labor only.</t>
  </si>
  <si>
    <t>Founder Economic Salary</t>
  </si>
  <si>
    <t>Combined Catherine + Weston economic compensation; no backpay is embedded here.</t>
  </si>
  <si>
    <t>Founder Cash Pay Start</t>
  </si>
  <si>
    <t>Oct 2026 is an editable modeled default; cash timing is not an owner-confirmed fact.</t>
  </si>
  <si>
    <t>Opening Founder Deferred Balance</t>
  </si>
  <si>
    <t>$ balance</t>
  </si>
  <si>
    <t>Pre-model deferred compensation is unresolved; zero is a modeled default.</t>
  </si>
  <si>
    <t>Founder Backpay Start</t>
  </si>
  <si>
    <t>Editable modeled date; repayment is capped at available deferred balance.</t>
  </si>
  <si>
    <t>Founder Backpay Monthly</t>
  </si>
  <si>
    <t>Zero/no backpay is a modeled default, not an owner fact.</t>
  </si>
  <si>
    <t>Packaging &amp; Delivery</t>
  </si>
  <si>
    <t>Applied only to food revenue.</t>
  </si>
  <si>
    <t>Payment Fees</t>
  </si>
  <si>
    <t>% non-Airbnb</t>
  </si>
  <si>
    <t>Applied to all revenue except Airbnb.</t>
  </si>
  <si>
    <t>Fixed Other OpEx</t>
  </si>
  <si>
    <t>Base is the observed May–Sep 2026 average of $1,686.95; downside/upside are +10%/−10% sensitivities.</t>
  </si>
  <si>
    <t>Opening Cash</t>
  </si>
  <si>
    <t>Local Pizza available balance at the 2026-10-01 model start; current balance was $104.23.</t>
  </si>
  <si>
    <t>Smith Rent — Sep 2026</t>
  </si>
  <si>
    <t>Owner-provided initial month amount.</t>
  </si>
  <si>
    <t>Smith Rent — Oct–Dec 2026</t>
  </si>
  <si>
    <t>Owner-provided stepped rent.</t>
  </si>
  <si>
    <t>Smith Rent — Jan–May 2027</t>
  </si>
  <si>
    <t>Smith Rent — Jun–Dec 2027</t>
  </si>
  <si>
    <t>Lease starts Jun 2027.</t>
  </si>
  <si>
    <t>Smith Rent — Jan 2028 Onward</t>
  </si>
  <si>
    <t>Includes the unbundled $563 NNN component.</t>
  </si>
  <si>
    <t>Utilities Transfer Date</t>
  </si>
  <si>
    <t>Gas, electric, and water transfer in Mar 2027.</t>
  </si>
  <si>
    <t>Second Venue Rent / Month</t>
  </si>
  <si>
    <t>$5,000 begins Jan 2027 only if activated; Oct–Dec trial rent is unresolved and modeled at zero.</t>
  </si>
  <si>
    <t>Airbnb Revenue / Weekend</t>
  </si>
  <si>
    <t>$/weekend</t>
  </si>
  <si>
    <t>Owner-provided weekend revenue.</t>
  </si>
  <si>
    <t>Hopkins Admin / Month</t>
  </si>
  <si>
    <t>All frozen pizza is produced at Hopkins.</t>
  </si>
  <si>
    <t>Storefront Ramp — Month 1</t>
  </si>
  <si>
    <t>% target sales</t>
  </si>
  <si>
    <t>Six-month ramp toward target-driven illustrative sales.</t>
  </si>
  <si>
    <t>Storefront Ramp — Month 2</t>
  </si>
  <si>
    <t>Six-month ramp.</t>
  </si>
  <si>
    <t>Storefront Ramp — Month 3</t>
  </si>
  <si>
    <t>Storefront Ramp — Month 4</t>
  </si>
  <si>
    <t>Storefront Ramp — Month 5</t>
  </si>
  <si>
    <t>Storefront Ramp — Month 6+</t>
  </si>
  <si>
    <t>Month 6 and later reaches 100% of target-driven sales.</t>
  </si>
  <si>
    <t>Fixed OpEx Annual Inflation</t>
  </si>
  <si>
    <t>%/year</t>
  </si>
  <si>
    <t>Steps up on each Oct model-year anniversary.</t>
  </si>
  <si>
    <t>Second Venue Trial Start</t>
  </si>
  <si>
    <t>Oct 2026 trial start.</t>
  </si>
  <si>
    <t>Second Venue Trial End</t>
  </si>
  <si>
    <t>Dec 2026 trial end.</t>
  </si>
  <si>
    <t>Second Venue Activation Date</t>
  </si>
  <si>
    <t>Jan 2027 activation decision.</t>
  </si>
  <si>
    <t>Historical — Jan to Sep 2026</t>
  </si>
  <si>
    <t>Observed Local Budget data through 2026-09-30. Food purchases are inventory purchasing, not consumed COGS; founder cash proxy is not economic salary.</t>
  </si>
  <si>
    <t>May–Sep baseline anchors the starting forecast. Revenue excludes $5,922.27 of Square advances; cash flow replaces $1,459.17 of Debt-category placeholders with settlement remittances.</t>
  </si>
  <si>
    <t>Observed Metric</t>
  </si>
  <si>
    <t>Jan–Sep 2026 Total</t>
  </si>
  <si>
    <t>Net Revenue</t>
  </si>
  <si>
    <t>Food Purchases</t>
  </si>
  <si>
    <t>Paid Labor</t>
  </si>
  <si>
    <t>Facility Costs</t>
  </si>
  <si>
    <t>Core Other OpEx</t>
  </si>
  <si>
    <t>Founder Cash Proxy</t>
  </si>
  <si>
    <t>Unclassified Transactions</t>
  </si>
  <si>
    <t>Adjusted Cash Flow After Debt</t>
  </si>
  <si>
    <t>Observed May–Sep baseline</t>
  </si>
  <si>
    <t>Five-month simple averages; fixed/core other OpEx anchors the editable scenario range.</t>
  </si>
  <si>
    <t>May–Sep Revenue Baseline</t>
  </si>
  <si>
    <t>May–Sep Direct Paid Labor Baseline</t>
  </si>
  <si>
    <t>May–Sep Fixed/Core Other OpEx Baseline</t>
  </si>
  <si>
    <t>608 Smith Avenue — Downside Scenario</t>
  </si>
  <si>
    <t>Formula-driven 44-month downside case. Yellow assumptions live on Inputs; outputs below include cached values for non-calculating readers.</t>
  </si>
  <si>
    <t>Storefront sales are target-driven illustrations, not observed demand. Founder current cash salary and deferred repayment are separate from economic labor cost.</t>
  </si>
  <si>
    <t>Metric</t>
  </si>
  <si>
    <t>Driver / interpretation</t>
  </si>
  <si>
    <t>REVENUE</t>
  </si>
  <si>
    <t>COST OF SALES &amp; LABOR</t>
  </si>
  <si>
    <t>OCCUPANCY &amp; REQUIRED SALES</t>
  </si>
  <si>
    <t>OPERATING RESULT &amp; CASH</t>
  </si>
  <si>
    <t>Meal Prep Revenue</t>
  </si>
  <si>
    <t>Smith food revenue; monthly compound growth</t>
  </si>
  <si>
    <t>Frozen Pizza Revenue</t>
  </si>
  <si>
    <t>Starting units × realized price × unit growth; produced at Hopkins</t>
  </si>
  <si>
    <t>Storefront Revenue</t>
  </si>
  <si>
    <t>Required Smith sales after meal prep and frozen pizza × six-month ramp</t>
  </si>
  <si>
    <t>Smith Revenue</t>
  </si>
  <si>
    <t>Meal prep + frozen pizza + storefront</t>
  </si>
  <si>
    <t>Airbnb Revenue</t>
  </si>
  <si>
    <t>Nonfood revenue at the second venue</t>
  </si>
  <si>
    <t>Small Events Revenue</t>
  </si>
  <si>
    <t>Gross small-event revenue</t>
  </si>
  <si>
    <t>Personal Chef Revenue</t>
  </si>
  <si>
    <t>Food revenue from packages at the second venue</t>
  </si>
  <si>
    <t>Second Venue Revenue</t>
  </si>
  <si>
    <t>Airbnb + small events + personal chef</t>
  </si>
  <si>
    <t>Total Revenue</t>
  </si>
  <si>
    <t>Smith + second venue</t>
  </si>
  <si>
    <t>Food Revenue</t>
  </si>
  <si>
    <t>Smith + event food component + personal chef</t>
  </si>
  <si>
    <t>Food COGS</t>
  </si>
  <si>
    <t>Applied only to food revenue</t>
  </si>
  <si>
    <t>Food Cost %</t>
  </si>
  <si>
    <t>% revenue</t>
  </si>
  <si>
    <t>Food COGS ÷ food revenue</t>
  </si>
  <si>
    <t>Venue Variable Cost</t>
  </si>
  <si>
    <t>Applied only to Airbnb revenue</t>
  </si>
  <si>
    <t>Applied to food revenue</t>
  </si>
  <si>
    <t>Direct Paid Labor</t>
  </si>
  <si>
    <t>Phase rate × total revenue</t>
  </si>
  <si>
    <t>Catherine + Weston combined economic compensation</t>
  </si>
  <si>
    <t>Burden on direct paid labor</t>
  </si>
  <si>
    <t>Total Labor</t>
  </si>
  <si>
    <t>Direct labor + founder economic compensation + burden</t>
  </si>
  <si>
    <t>Total Labor %</t>
  </si>
  <si>
    <t>Total labor ÷ total revenue</t>
  </si>
  <si>
    <t>Smith Rent &amp; NNN</t>
  </si>
  <si>
    <t>Owner-provided stepped rent schedule</t>
  </si>
  <si>
    <t>Begins on the editable transfer date</t>
  </si>
  <si>
    <t>Smith Occupancy Cost</t>
  </si>
  <si>
    <t>Smith rent + utilities</t>
  </si>
  <si>
    <t>Second Venue Rent</t>
  </si>
  <si>
    <t>Conditional on post-trial activation</t>
  </si>
  <si>
    <t>Hopkins Admin</t>
  </si>
  <si>
    <t>Ongoing Hopkins facility/admin charge</t>
  </si>
  <si>
    <t>Total Occupancy Cost</t>
  </si>
  <si>
    <t>Smith + second venue + Hopkins</t>
  </si>
  <si>
    <t>Consolidated Occupancy %</t>
  </si>
  <si>
    <t>Total occupancy ÷ total revenue</t>
  </si>
  <si>
    <t>Smith Occupancy %</t>
  </si>
  <si>
    <t>Smith occupancy ÷ Smith revenue</t>
  </si>
  <si>
    <t>Required Smith Revenue</t>
  </si>
  <si>
    <t>Smith occupancy ÷ target ratio</t>
  </si>
  <si>
    <t>Smith Revenue Gap / (Surplus)</t>
  </si>
  <si>
    <t>Required less modeled Smith revenue</t>
  </si>
  <si>
    <t>Required Storefront Transactions / Day</t>
  </si>
  <si>
    <t>transactions</t>
  </si>
  <si>
    <t>Required storefront sales ÷ ticket ÷ open days</t>
  </si>
  <si>
    <t>Payment Processing</t>
  </si>
  <si>
    <t>3% of revenue other than Airbnb</t>
  </si>
  <si>
    <t>3% inflation on each model-year anniversary</t>
  </si>
  <si>
    <t>Operating Profit</t>
  </si>
  <si>
    <t>Accrual operating profit after founder economic compensation</t>
  </si>
  <si>
    <t>Operating Margin</t>
  </si>
  <si>
    <t>Operating profit ÷ total revenue</t>
  </si>
  <si>
    <t>Founder Cash Salary</t>
  </si>
  <si>
    <t>Current salary follows the editable cash-pay start</t>
  </si>
  <si>
    <t>Founder Deferred Repayment</t>
  </si>
  <si>
    <t>Editable backpay request capped at available deferred balance</t>
  </si>
  <si>
    <t>Deferred Salary Movement</t>
  </si>
  <si>
    <t>Economic compensation less current cash salary and repayment</t>
  </si>
  <si>
    <t>Founder Deferred Balance</t>
  </si>
  <si>
    <t>Prior balance + current movement</t>
  </si>
  <si>
    <t>Monthly Operating Cash</t>
  </si>
  <si>
    <t>Operating profit + economic compensation − current cash − repayment</t>
  </si>
  <si>
    <t>Cumulative Operating Cash</t>
  </si>
  <si>
    <t>Opening cash + cumulative monthly operating cash</t>
  </si>
  <si>
    <t>608 Smith Avenue — Base Scenario</t>
  </si>
  <si>
    <t>Formula-driven 44-month base case. Yellow assumptions live on Inputs; outputs below include cached values for non-calculating readers.</t>
  </si>
  <si>
    <t>608 Smith Avenue — Upside Scenario</t>
  </si>
  <si>
    <t>Formula-driven 44-month upside case. Yellow assumptions live on Inputs; outputs below include cached values for non-calculating readers.</t>
  </si>
  <si>
    <t>Annual Summary — Selected Scenario</t>
  </si>
  <si>
    <t>Scenario formulas follow Inputs!B4 (Base default). Periods align to the Smith lease decision rather than calendar years.</t>
  </si>
  <si>
    <t>Base default — controlled on Inputs</t>
  </si>
  <si>
    <t>Period</t>
  </si>
  <si>
    <t>Pre-lease</t>
  </si>
  <si>
    <t>Lease Year 1</t>
  </si>
  <si>
    <t>Lease Year 2</t>
  </si>
  <si>
    <t>Lease Year 3</t>
  </si>
  <si>
    <t>Visible boundaries</t>
  </si>
  <si>
    <t>Oct 2026 – May 2027</t>
  </si>
  <si>
    <t>Jun 2027 – May 2028</t>
  </si>
  <si>
    <t>Jun 2028 – May 2029</t>
  </si>
  <si>
    <t>Jun 2029 – May 2030</t>
  </si>
  <si>
    <t>Operating Cash Generated</t>
  </si>
  <si>
    <t>Ending Cumulative Operating Cash</t>
  </si>
  <si>
    <t>Average Total Labor %</t>
  </si>
  <si>
    <t>Average Smith Occupancy %</t>
  </si>
  <si>
    <t>Average Consolidated Occupancy %</t>
  </si>
  <si>
    <t>Founder Current Cash Salary</t>
  </si>
  <si>
    <t>Ending Founder Deferred Balance</t>
  </si>
  <si>
    <t>Dashboard — 608 Smith Avenue</t>
  </si>
  <si>
    <t>Selected scenario: Base default. Change Inputs!B4 to recalculate all dashboard and annual-summary formulas.</t>
  </si>
  <si>
    <t>Decision focus: revenue sufficiency, Smith occupancy, labor load, founder cash compensation, and cumulative operating cash.</t>
  </si>
  <si>
    <t>Pre-lease Total Revenue</t>
  </si>
  <si>
    <t>Lease Year 1 Total Revenue</t>
  </si>
  <si>
    <t>May 2030 Monthly Revenue</t>
  </si>
  <si>
    <t>May 2030 Operating Margin</t>
  </si>
  <si>
    <t>May 2030 Cumulative Cash</t>
  </si>
  <si>
    <t>May 2030 Founder Deferred Balance</t>
  </si>
  <si>
    <t>Lease Year 1 Avg Total Labor %</t>
  </si>
  <si>
    <t>Lease Year 1 Avg Smith Occupancy %</t>
  </si>
  <si>
    <t>Month</t>
  </si>
  <si>
    <t>Sensitivity — Decision Thresholds</t>
  </si>
  <si>
    <t>Formula-driven Base-case decision tables. Change Base assumptions on Inputs to refresh linked calculations.</t>
  </si>
  <si>
    <t>Airbnb weekends versus 5000 rent ($5,000 monthly)</t>
  </si>
  <si>
    <t>Airbnb Weekends</t>
  </si>
  <si>
    <t>Gross Revenue</t>
  </si>
  <si>
    <t>Variable Cost</t>
  </si>
  <si>
    <t>Net Contribution</t>
  </si>
  <si>
    <t>Rent Coverage Gap</t>
  </si>
  <si>
    <t>Smith required revenue by rent phase</t>
  </si>
  <si>
    <t>Rent Phase</t>
  </si>
  <si>
    <t>Smith Rent</t>
  </si>
  <si>
    <t>Utilities</t>
  </si>
  <si>
    <t>Occupancy Target</t>
  </si>
  <si>
    <t>Sep 2026</t>
  </si>
  <si>
    <t>Oct–Dec 2026</t>
  </si>
  <si>
    <t>Jan–Feb 2027</t>
  </si>
  <si>
    <t>Mar–May 2027</t>
  </si>
  <si>
    <t>Jun–Dec 2027</t>
  </si>
  <si>
    <t>Jan 2028 onward</t>
  </si>
  <si>
    <t>Transactions/day by average ticket — Base Jan 2028 required storefront sales</t>
  </si>
  <si>
    <t>Required Storefront Revenue</t>
  </si>
  <si>
    <t>Labor/revenue thresholds with 7500 founder compensation ($7,500/month)</t>
  </si>
  <si>
    <t>Monthly Revenue</t>
  </si>
  <si>
    <t>Direct Labor Rate</t>
  </si>
  <si>
    <t>Direct Labor</t>
  </si>
  <si>
    <t>Payroll Burden</t>
  </si>
  <si>
    <t>Founder Economic</t>
  </si>
  <si>
    <t>Labor / Revenue</t>
  </si>
  <si>
    <t>Sources, Provenance &amp; Disclosures</t>
  </si>
  <si>
    <t>Model facts are classified as Observed, Owner-defined, Modeled, or Unresolved. Owner-provided facts are dated 2026-09-24.</t>
  </si>
  <si>
    <t>As of</t>
  </si>
  <si>
    <t>Source / fact</t>
  </si>
  <si>
    <t>Model treatment</t>
  </si>
  <si>
    <t>Decision caveat</t>
  </si>
  <si>
    <t>2026-09-24</t>
  </si>
  <si>
    <t>Owner-provided Smith rent schedule and Mar 2027 gas/electric/water transfer.</t>
  </si>
  <si>
    <t>Stepped rent: $400; $1,800; $2,600; $3,400; then $3,963 including $563 NNN.</t>
  </si>
  <si>
    <t>Lease begins Jun 2027.</t>
  </si>
  <si>
    <t>Owner-provided second-venue economics: $2,400 Airbnb weekend, events, and personal-chef packages.</t>
  </si>
  <si>
    <t>$5,000 rent begins Jan 2027 only if activated; Oct–Dec trial revenue is scaled.</t>
  </si>
  <si>
    <t>No supplied Oct–Dec trial rent; modeled at zero and unresolved.</t>
  </si>
  <si>
    <t>Owner-provided meal prep anchor: 4001 dollars per 28-day cycle ($4,001).</t>
  </si>
  <si>
    <t>Modeled monthly start is $4,334.42 using thirteen 28-day cycles divided by twelve months.</t>
  </si>
  <si>
    <t>Growth after the anchor is modeled.</t>
  </si>
  <si>
    <t>Four-account snapshot supplied for broader business context.</t>
  </si>
  <si>
    <t>Retained as dated context; the model opening cash now uses the newer Local Pizza available balance.</t>
  </si>
  <si>
    <t>Not a complete balance sheet.</t>
  </si>
  <si>
    <t>2026-10-01</t>
  </si>
  <si>
    <t>Local Budget posted, split-aware cash actuals through 2026-09-30 and Local Pizza balance synced 2026-10-01.</t>
  </si>
  <si>
    <t>Nine monthly series reproduced on Historical; Square advances are financing, not revenue; settlement remittances replace Debt placeholders in adjusted cash flow.</t>
  </si>
  <si>
    <t>May–Sep fixed/core other OpEx anchors the scenario range; purchases remain inventory purchasing, not consumed COGS.</t>
  </si>
  <si>
    <t>Smith houses meal prep; all frozen pizza is produced at Hopkins; Happy Monday sandwiches excluded.</t>
  </si>
  <si>
    <t>Only frozen-pizza revenue is modeled.</t>
  </si>
  <si>
    <t>No sandwich revenue is forecast.</t>
  </si>
  <si>
    <t>Downside, Base, and Upside operating assumptions.</t>
  </si>
  <si>
    <t>Editable yellow scenario cells drive meal growth, units, price, venue use, storefront, COGS, labor, and fixed OpEx.</t>
  </si>
  <si>
    <t>Scenarios are planning ranges, not observed demand.</t>
  </si>
  <si>
    <t>Founder cash timing, opening founder deferred balance, and any backpay obligation.</t>
  </si>
  <si>
    <t>Oct 2026 cash-pay/backpay start, zero opening deferred balance, and zero monthly backpay are editable modeled defaults.</t>
  </si>
  <si>
    <t>No-backpay is not an owner fact; confirm pre-model balances.</t>
  </si>
  <si>
    <t>Local Pizza available balance at model start.</t>
  </si>
  <si>
    <t>$102.23 available and $104.23 current, synced 2026-10-01; Local Pizza is the owner-confirmed primary business account.</t>
  </si>
  <si>
    <t>This is not a complete balance sheet or liquidity reserve.</t>
  </si>
  <si>
    <t>Storefront target-sales and cost-rate mechanics.</t>
  </si>
  <si>
    <t>Required sales solve from Smith occupancy target, then ramp 35/50/65/80/90/100%; fixed OpEx inflates 3% annually.</t>
  </si>
  <si>
    <t>Target-driven sales are illustrative, not a demand forecast.</t>
  </si>
  <si>
    <t>Financial model disclosure</t>
  </si>
  <si>
    <t>Internal planning financial model; not tax, legal, or accounting advice.</t>
  </si>
  <si>
    <t>Explicit exclusions: debt service and financing; income and sales taxes; inventory working capital; security deposits; and capital raises. The model also excludes any unconfirmed pre-model founder deferred compensation or back-pay balance until entered on Inputs.</t>
  </si>
</sst>
</file>

<file path=xl/styles.xml><?xml version="1.0" encoding="utf-8"?>
<styleSheet xmlns="http://schemas.openxmlformats.org/spreadsheetml/2006/main">
  <numFmts count="7">
    <numFmt numFmtId="164" formatCode="$#,##0.00;[Red]($#,##0.00);-"/>
    <numFmt numFmtId="165" formatCode="0.0"/>
    <numFmt numFmtId="166" formatCode="0.0%"/>
    <numFmt numFmtId="167" formatCode="mmm d, yyyy"/>
    <numFmt numFmtId="168" formatCode="mmm-yy"/>
    <numFmt numFmtId="169" formatCode="$#,##0;[Red]($#,##0);-"/>
    <numFmt numFmtId="170" formatCode="0.0%;[Red](0.0%);-"/>
  </numFmts>
  <fonts count="17">
    <font>
      <sz val="11"/>
      <color theme="1"/>
      <name val="Calibri"/>
      <family val="2"/>
      <scheme val="minor"/>
    </font>
    <font>
      <b/>
      <sz val="20"/>
      <color rgb="FFFFFFFF"/>
      <name val="Aptos Display"/>
      <family val="2"/>
    </font>
    <font>
      <i/>
      <sz val="10"/>
      <color rgb="FF44546A"/>
      <name val="Aptos"/>
      <family val="2"/>
    </font>
    <font>
      <b/>
      <sz val="11"/>
      <color rgb="FFFFFFFF"/>
      <name val="Aptos"/>
      <family val="2"/>
    </font>
    <font>
      <b/>
      <sz val="10"/>
      <color rgb="FFFFFFFF"/>
      <name val="Aptos"/>
      <family val="2"/>
    </font>
    <font>
      <sz val="10"/>
      <color rgb="FF1F1F1F"/>
      <name val="Aptos"/>
      <family val="2"/>
    </font>
    <font>
      <sz val="10"/>
      <color rgb="FF7F6000"/>
      <name val="Aptos"/>
      <family val="2"/>
    </font>
    <font>
      <sz val="9"/>
      <color rgb="FF2A7F78"/>
      <name val="Aptos"/>
      <family val="2"/>
    </font>
    <font>
      <b/>
      <sz val="9"/>
      <color rgb="FF44546A"/>
      <name val="Aptos"/>
      <family val="2"/>
    </font>
    <font>
      <sz val="9"/>
      <color rgb="FF44546A"/>
      <name val="Aptos"/>
      <family val="2"/>
    </font>
    <font>
      <sz val="8"/>
      <color rgb="FF44546A"/>
      <name val="Aptos"/>
      <family val="2"/>
    </font>
    <font>
      <b/>
      <sz val="9"/>
      <color rgb="FFFFFFFF"/>
      <name val="Aptos"/>
      <family val="2"/>
    </font>
    <font>
      <b/>
      <sz val="10"/>
      <color rgb="FF17324D"/>
      <name val="Aptos"/>
      <family val="2"/>
    </font>
    <font>
      <b/>
      <sz val="9"/>
      <color rgb="FF17324D"/>
      <name val="Aptos"/>
      <family val="2"/>
    </font>
    <font>
      <sz val="9"/>
      <color theme="1"/>
      <name val="Aptos"/>
      <family val="2"/>
    </font>
    <font>
      <b/>
      <sz val="15"/>
      <color rgb="FF17324D"/>
      <name val="Aptos Display"/>
      <family val="2"/>
    </font>
    <font>
      <sz val="10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A7F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DEA"/>
        <bgColor indexed="64"/>
      </patternFill>
    </fill>
    <fill>
      <patternFill patternType="solid">
        <fgColor rgb="FFE7EBEF"/>
        <bgColor indexed="64"/>
      </patternFill>
    </fill>
    <fill>
      <patternFill patternType="solid">
        <fgColor rgb="FFEAF2F8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7EBEF"/>
      </left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D9A441"/>
      </left>
      <right style="thin">
        <color rgb="FFD9A441"/>
      </right>
      <top style="thin">
        <color rgb="FFD9A441"/>
      </top>
      <bottom style="thin">
        <color rgb="FFD9A44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0" xfId="0" applyFont="1" applyAlignment="1">
      <alignment vertical="top" wrapText="1"/>
    </xf>
    <xf numFmtId="0" fontId="6" fillId="4" borderId="3" xfId="0" applyFont="1" applyFill="1" applyBorder="1"/>
    <xf numFmtId="0" fontId="7" fillId="5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vertical="top" wrapText="1"/>
    </xf>
    <xf numFmtId="0" fontId="8" fillId="6" borderId="1" xfId="0" applyFont="1" applyFill="1" applyBorder="1" applyAlignment="1">
      <alignment wrapText="1"/>
    </xf>
    <xf numFmtId="0" fontId="9" fillId="0" borderId="0" xfId="0" applyFont="1" applyAlignment="1">
      <alignment vertical="top" wrapText="1"/>
    </xf>
    <xf numFmtId="0" fontId="9" fillId="0" borderId="2" xfId="0" applyFont="1" applyBorder="1" applyAlignment="1">
      <alignment horizontal="center"/>
    </xf>
    <xf numFmtId="164" fontId="6" fillId="4" borderId="3" xfId="0" applyNumberFormat="1" applyFont="1" applyFill="1" applyBorder="1"/>
    <xf numFmtId="0" fontId="10" fillId="0" borderId="2" xfId="0" applyFont="1" applyBorder="1" applyAlignment="1">
      <alignment wrapText="1"/>
    </xf>
    <xf numFmtId="165" fontId="6" fillId="4" borderId="3" xfId="0" applyNumberFormat="1" applyFont="1" applyFill="1" applyBorder="1"/>
    <xf numFmtId="166" fontId="6" fillId="4" borderId="3" xfId="0" applyNumberFormat="1" applyFont="1" applyFill="1" applyBorder="1"/>
    <xf numFmtId="167" fontId="6" fillId="4" borderId="3" xfId="0" applyNumberFormat="1" applyFont="1" applyFill="1" applyBorder="1"/>
    <xf numFmtId="168" fontId="11" fillId="2" borderId="1" xfId="0" applyNumberFormat="1" applyFont="1" applyFill="1" applyBorder="1" applyAlignment="1">
      <alignment horizontal="center"/>
    </xf>
    <xf numFmtId="0" fontId="12" fillId="7" borderId="2" xfId="0" applyFont="1" applyFill="1" applyBorder="1"/>
    <xf numFmtId="169" fontId="13" fillId="7" borderId="2" xfId="0" applyNumberFormat="1" applyFont="1" applyFill="1" applyBorder="1"/>
    <xf numFmtId="169" fontId="14" fillId="0" borderId="2" xfId="0" applyNumberFormat="1" applyFont="1" applyBorder="1"/>
    <xf numFmtId="170" fontId="14" fillId="0" borderId="2" xfId="0" applyNumberFormat="1" applyFont="1" applyBorder="1"/>
    <xf numFmtId="165" fontId="14" fillId="0" borderId="2" xfId="0" applyNumberFormat="1" applyFont="1" applyBorder="1"/>
    <xf numFmtId="169" fontId="15" fillId="7" borderId="1" xfId="0" applyNumberFormat="1" applyFont="1" applyFill="1" applyBorder="1"/>
    <xf numFmtId="170" fontId="15" fillId="7" borderId="1" xfId="0" applyNumberFormat="1" applyFont="1" applyFill="1" applyBorder="1"/>
    <xf numFmtId="167" fontId="16" fillId="0" borderId="2" xfId="0" applyNumberFormat="1" applyFont="1" applyBorder="1"/>
    <xf numFmtId="170" fontId="13" fillId="7" borderId="2" xfId="0" applyNumberFormat="1" applyFont="1" applyFill="1" applyBorder="1"/>
  </cellXfs>
  <cellStyles count="1">
    <cellStyle name="Normal" xfId="0" builtinId="0"/>
  </cellStyles>
  <dxfs count="2">
    <dxf>
      <font>
        <color rgb="FF375623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Monthly Revenue and Operating Profit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Dashboard!$B$18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>
              <a:solidFill>
                <a:srgbClr val="2A7F78"/>
              </a:solidFill>
            </a:ln>
          </c:spPr>
          <c:marker>
            <c:symbol val="none"/>
          </c:marker>
          <c:cat>
            <c:numRef>
              <c:f>Dashboard!$A$19:$A$62</c:f>
              <c:numCache>
                <c:formatCode>General</c:formatCode>
                <c:ptCount val="44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  <c:pt idx="36">
                  <c:v>47392</c:v>
                </c:pt>
                <c:pt idx="37">
                  <c:v>47423</c:v>
                </c:pt>
                <c:pt idx="38">
                  <c:v>47453</c:v>
                </c:pt>
                <c:pt idx="39">
                  <c:v>47484</c:v>
                </c:pt>
                <c:pt idx="40">
                  <c:v>47515</c:v>
                </c:pt>
                <c:pt idx="41">
                  <c:v>47543</c:v>
                </c:pt>
                <c:pt idx="42">
                  <c:v>47574</c:v>
                </c:pt>
                <c:pt idx="43">
                  <c:v>47604</c:v>
                </c:pt>
              </c:numCache>
            </c:numRef>
          </c:cat>
          <c:val>
            <c:numRef>
              <c:f>Dashboard!$B$19:$B$62</c:f>
              <c:numCache>
                <c:formatCode>General</c:formatCode>
                <c:ptCount val="44"/>
                <c:pt idx="0">
                  <c:v>16484.42</c:v>
                </c:pt>
                <c:pt idx="1">
                  <c:v>16554.7642</c:v>
                </c:pt>
                <c:pt idx="2">
                  <c:v>16625.946842</c:v>
                </c:pt>
                <c:pt idx="3">
                  <c:v>20147.97833542</c:v>
                </c:pt>
                <c:pt idx="4">
                  <c:v>20220.8692241492</c:v>
                </c:pt>
                <c:pt idx="5">
                  <c:v>31284.667517161946</c:v>
                </c:pt>
                <c:pt idx="6">
                  <c:v>36032.004444185</c:v>
                </c:pt>
                <c:pt idx="7">
                  <c:v>40757.260962004424</c:v>
                </c:pt>
                <c:pt idx="8">
                  <c:v>52196.88006252338</c:v>
                </c:pt>
                <c:pt idx="9">
                  <c:v>56164.06985384961</c:v>
                </c:pt>
                <c:pt idx="10">
                  <c:v>60115.78947368422</c:v>
                </c:pt>
                <c:pt idx="11">
                  <c:v>60115.78947368421</c:v>
                </c:pt>
                <c:pt idx="12">
                  <c:v>60115.78947368421</c:v>
                </c:pt>
                <c:pt idx="13">
                  <c:v>60115.78947368421</c:v>
                </c:pt>
                <c:pt idx="14">
                  <c:v>60115.78947368421</c:v>
                </c:pt>
                <c:pt idx="15">
                  <c:v>66042.1052631579</c:v>
                </c:pt>
                <c:pt idx="16">
                  <c:v>66042.1052631579</c:v>
                </c:pt>
                <c:pt idx="17">
                  <c:v>66042.1052631579</c:v>
                </c:pt>
                <c:pt idx="18">
                  <c:v>66042.1052631579</c:v>
                </c:pt>
                <c:pt idx="19">
                  <c:v>66042.1052631579</c:v>
                </c:pt>
                <c:pt idx="20">
                  <c:v>66042.1052631579</c:v>
                </c:pt>
                <c:pt idx="21">
                  <c:v>66042.1052631579</c:v>
                </c:pt>
                <c:pt idx="22">
                  <c:v>66042.1052631579</c:v>
                </c:pt>
                <c:pt idx="23">
                  <c:v>66042.1052631579</c:v>
                </c:pt>
                <c:pt idx="24">
                  <c:v>66042.1052631579</c:v>
                </c:pt>
                <c:pt idx="25">
                  <c:v>66042.1052631579</c:v>
                </c:pt>
                <c:pt idx="26">
                  <c:v>66042.1052631579</c:v>
                </c:pt>
                <c:pt idx="27">
                  <c:v>66042.1052631579</c:v>
                </c:pt>
                <c:pt idx="28">
                  <c:v>66042.1052631579</c:v>
                </c:pt>
                <c:pt idx="29">
                  <c:v>66042.1052631579</c:v>
                </c:pt>
                <c:pt idx="30">
                  <c:v>66042.1052631579</c:v>
                </c:pt>
                <c:pt idx="31">
                  <c:v>66042.1052631579</c:v>
                </c:pt>
                <c:pt idx="32">
                  <c:v>66042.1052631579</c:v>
                </c:pt>
                <c:pt idx="33">
                  <c:v>66042.1052631579</c:v>
                </c:pt>
                <c:pt idx="34">
                  <c:v>66042.1052631579</c:v>
                </c:pt>
                <c:pt idx="35">
                  <c:v>66042.1052631579</c:v>
                </c:pt>
                <c:pt idx="36">
                  <c:v>66042.1052631579</c:v>
                </c:pt>
                <c:pt idx="37">
                  <c:v>66042.1052631579</c:v>
                </c:pt>
                <c:pt idx="38">
                  <c:v>66042.1052631579</c:v>
                </c:pt>
                <c:pt idx="39">
                  <c:v>66042.1052631579</c:v>
                </c:pt>
                <c:pt idx="40">
                  <c:v>66042.1052631579</c:v>
                </c:pt>
                <c:pt idx="41">
                  <c:v>66042.1052631579</c:v>
                </c:pt>
                <c:pt idx="42">
                  <c:v>66042.1052631579</c:v>
                </c:pt>
                <c:pt idx="43">
                  <c:v>66042.1052631579</c:v>
                </c:pt>
              </c:numCache>
            </c:numRef>
          </c:val>
        </c:ser>
        <c:ser>
          <c:idx val="1"/>
          <c:order val="1"/>
          <c:tx>
            <c:strRef>
              <c:f>Dashboard!$C$18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25400">
              <a:solidFill>
                <a:srgbClr val="D9A441"/>
              </a:solidFill>
            </a:ln>
          </c:spPr>
          <c:marker>
            <c:symbol val="none"/>
          </c:marker>
          <c:cat>
            <c:numRef>
              <c:f>Dashboard!$A$19:$A$62</c:f>
              <c:numCache>
                <c:formatCode>General</c:formatCode>
                <c:ptCount val="44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  <c:pt idx="36">
                  <c:v>47392</c:v>
                </c:pt>
                <c:pt idx="37">
                  <c:v>47423</c:v>
                </c:pt>
                <c:pt idx="38">
                  <c:v>47453</c:v>
                </c:pt>
                <c:pt idx="39">
                  <c:v>47484</c:v>
                </c:pt>
                <c:pt idx="40">
                  <c:v>47515</c:v>
                </c:pt>
                <c:pt idx="41">
                  <c:v>47543</c:v>
                </c:pt>
                <c:pt idx="42">
                  <c:v>47574</c:v>
                </c:pt>
                <c:pt idx="43">
                  <c:v>47604</c:v>
                </c:pt>
              </c:numCache>
            </c:numRef>
          </c:cat>
          <c:val>
            <c:numRef>
              <c:f>Dashboard!$C$19:$C$62</c:f>
              <c:numCache>
                <c:formatCode>General</c:formatCode>
                <c:ptCount val="44"/>
                <c:pt idx="0">
                  <c:v>-523.2668400000009</c:v>
                </c:pt>
                <c:pt idx="1">
                  <c:v>-481.2010083999983</c:v>
                </c:pt>
                <c:pt idx="2">
                  <c:v>-438.63378848399884</c:v>
                </c:pt>
                <c:pt idx="3">
                  <c:v>-3880.4589554188406</c:v>
                </c:pt>
                <c:pt idx="4">
                  <c:v>-3836.870203958777</c:v>
                </c:pt>
                <c:pt idx="5">
                  <c:v>58.62446181893597</c:v>
                </c:pt>
                <c:pt idx="6">
                  <c:v>2636.428413192456</c:v>
                </c:pt>
                <c:pt idx="7">
                  <c:v>5202.242702368407</c:v>
                </c:pt>
                <c:pt idx="8">
                  <c:v>10613.955873950195</c:v>
                </c:pt>
                <c:pt idx="9">
                  <c:v>12768.139930640335</c:v>
                </c:pt>
                <c:pt idx="10">
                  <c:v>14913.923684210527</c:v>
                </c:pt>
                <c:pt idx="11">
                  <c:v>16897.7447368421</c:v>
                </c:pt>
                <c:pt idx="12">
                  <c:v>16847.136236842103</c:v>
                </c:pt>
                <c:pt idx="13">
                  <c:v>16847.136236842103</c:v>
                </c:pt>
                <c:pt idx="14">
                  <c:v>16847.136236842103</c:v>
                </c:pt>
                <c:pt idx="15">
                  <c:v>19697.694131578955</c:v>
                </c:pt>
                <c:pt idx="16">
                  <c:v>19697.694131578948</c:v>
                </c:pt>
                <c:pt idx="17">
                  <c:v>19697.694131578948</c:v>
                </c:pt>
                <c:pt idx="18">
                  <c:v>19697.694131578948</c:v>
                </c:pt>
                <c:pt idx="19">
                  <c:v>19697.694131578948</c:v>
                </c:pt>
                <c:pt idx="20">
                  <c:v>19697.69413157894</c:v>
                </c:pt>
                <c:pt idx="21">
                  <c:v>19697.694131578948</c:v>
                </c:pt>
                <c:pt idx="22">
                  <c:v>19697.694131578948</c:v>
                </c:pt>
                <c:pt idx="23">
                  <c:v>19697.694131578948</c:v>
                </c:pt>
                <c:pt idx="24">
                  <c:v>19645.567376578947</c:v>
                </c:pt>
                <c:pt idx="25">
                  <c:v>19645.567376578947</c:v>
                </c:pt>
                <c:pt idx="26">
                  <c:v>19645.567376578947</c:v>
                </c:pt>
                <c:pt idx="27">
                  <c:v>19645.567376578947</c:v>
                </c:pt>
                <c:pt idx="28">
                  <c:v>19645.567376578947</c:v>
                </c:pt>
                <c:pt idx="29">
                  <c:v>19645.567376578954</c:v>
                </c:pt>
                <c:pt idx="30">
                  <c:v>19645.567376578947</c:v>
                </c:pt>
                <c:pt idx="31">
                  <c:v>19645.56737657894</c:v>
                </c:pt>
                <c:pt idx="32">
                  <c:v>19645.567376578947</c:v>
                </c:pt>
                <c:pt idx="33">
                  <c:v>19645.567376578947</c:v>
                </c:pt>
                <c:pt idx="34">
                  <c:v>19645.567376578947</c:v>
                </c:pt>
                <c:pt idx="35">
                  <c:v>19645.567376578947</c:v>
                </c:pt>
                <c:pt idx="36">
                  <c:v>19591.876818928948</c:v>
                </c:pt>
                <c:pt idx="37">
                  <c:v>19591.876818928948</c:v>
                </c:pt>
                <c:pt idx="38">
                  <c:v>19591.876818928948</c:v>
                </c:pt>
                <c:pt idx="39">
                  <c:v>19591.876818928948</c:v>
                </c:pt>
                <c:pt idx="40">
                  <c:v>19591.876818928948</c:v>
                </c:pt>
                <c:pt idx="41">
                  <c:v>19591.87681892894</c:v>
                </c:pt>
                <c:pt idx="42">
                  <c:v>19591.876818928948</c:v>
                </c:pt>
                <c:pt idx="43">
                  <c:v>19591.876818928948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numFmt formatCode="mmm-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Dollars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Labor and Smith Occupancy Ratios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Dashboard!$D$18</c:f>
              <c:strCache>
                <c:ptCount val="1"/>
                <c:pt idx="0">
                  <c:v>Total Labor %</c:v>
                </c:pt>
              </c:strCache>
            </c:strRef>
          </c:tx>
          <c:spPr>
            <a:ln w="25400">
              <a:solidFill>
                <a:srgbClr val="17324D"/>
              </a:solidFill>
            </a:ln>
          </c:spPr>
          <c:marker>
            <c:symbol val="none"/>
          </c:marker>
          <c:cat>
            <c:numRef>
              <c:f>Dashboard!$A$19:$A$62</c:f>
              <c:numCache>
                <c:formatCode>General</c:formatCode>
                <c:ptCount val="44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  <c:pt idx="36">
                  <c:v>47392</c:v>
                </c:pt>
                <c:pt idx="37">
                  <c:v>47423</c:v>
                </c:pt>
                <c:pt idx="38">
                  <c:v>47453</c:v>
                </c:pt>
                <c:pt idx="39">
                  <c:v>47484</c:v>
                </c:pt>
                <c:pt idx="40">
                  <c:v>47515</c:v>
                </c:pt>
                <c:pt idx="41">
                  <c:v>47543</c:v>
                </c:pt>
                <c:pt idx="42">
                  <c:v>47574</c:v>
                </c:pt>
                <c:pt idx="43">
                  <c:v>47604</c:v>
                </c:pt>
              </c:numCache>
            </c:numRef>
          </c:cat>
          <c:val>
            <c:numRef>
              <c:f>Dashboard!$D$19:$D$62</c:f>
              <c:numCache>
                <c:formatCode>General</c:formatCode>
                <c:ptCount val="44"/>
                <c:pt idx="0">
                  <c:v>0.5869750613003066</c:v>
                </c:pt>
                <c:pt idx="1">
                  <c:v>0.585041789625732</c:v>
                </c:pt>
                <c:pt idx="2">
                  <c:v>0.5831021279734704</c:v>
                </c:pt>
                <c:pt idx="3">
                  <c:v>0.5042457844227008</c:v>
                </c:pt>
                <c:pt idx="4">
                  <c:v>0.5029039367626672</c:v>
                </c:pt>
                <c:pt idx="5">
                  <c:v>0.42673404850429364</c:v>
                </c:pt>
                <c:pt idx="6">
                  <c:v>0.3951482869380136</c:v>
                </c:pt>
                <c:pt idx="7">
                  <c:v>0.371016291158324</c:v>
                </c:pt>
                <c:pt idx="8">
                  <c:v>0.3306867489209359</c:v>
                </c:pt>
                <c:pt idx="9">
                  <c:v>0.32053733124249245</c:v>
                </c:pt>
                <c:pt idx="10">
                  <c:v>0.3117592365610226</c:v>
                </c:pt>
                <c:pt idx="11">
                  <c:v>0.27875923656102264</c:v>
                </c:pt>
                <c:pt idx="12">
                  <c:v>0.27875923656102264</c:v>
                </c:pt>
                <c:pt idx="13">
                  <c:v>0.27875923656102264</c:v>
                </c:pt>
                <c:pt idx="14">
                  <c:v>0.27875923656102264</c:v>
                </c:pt>
                <c:pt idx="15">
                  <c:v>0.26756391456805867</c:v>
                </c:pt>
                <c:pt idx="16">
                  <c:v>0.26756391456805867</c:v>
                </c:pt>
                <c:pt idx="17">
                  <c:v>0.26756391456805867</c:v>
                </c:pt>
                <c:pt idx="18">
                  <c:v>0.26756391456805867</c:v>
                </c:pt>
                <c:pt idx="19">
                  <c:v>0.26756391456805867</c:v>
                </c:pt>
                <c:pt idx="20">
                  <c:v>0.26756391456805867</c:v>
                </c:pt>
                <c:pt idx="21">
                  <c:v>0.26756391456805867</c:v>
                </c:pt>
                <c:pt idx="22">
                  <c:v>0.26756391456805867</c:v>
                </c:pt>
                <c:pt idx="23">
                  <c:v>0.26756391456805867</c:v>
                </c:pt>
                <c:pt idx="24">
                  <c:v>0.26756391456805867</c:v>
                </c:pt>
                <c:pt idx="25">
                  <c:v>0.26756391456805867</c:v>
                </c:pt>
                <c:pt idx="26">
                  <c:v>0.26756391456805867</c:v>
                </c:pt>
                <c:pt idx="27">
                  <c:v>0.26756391456805867</c:v>
                </c:pt>
                <c:pt idx="28">
                  <c:v>0.26756391456805867</c:v>
                </c:pt>
                <c:pt idx="29">
                  <c:v>0.26756391456805867</c:v>
                </c:pt>
                <c:pt idx="30">
                  <c:v>0.26756391456805867</c:v>
                </c:pt>
                <c:pt idx="31">
                  <c:v>0.26756391456805867</c:v>
                </c:pt>
                <c:pt idx="32">
                  <c:v>0.26756391456805867</c:v>
                </c:pt>
                <c:pt idx="33">
                  <c:v>0.26756391456805867</c:v>
                </c:pt>
                <c:pt idx="34">
                  <c:v>0.26756391456805867</c:v>
                </c:pt>
                <c:pt idx="35">
                  <c:v>0.26756391456805867</c:v>
                </c:pt>
                <c:pt idx="36">
                  <c:v>0.26756391456805867</c:v>
                </c:pt>
                <c:pt idx="37">
                  <c:v>0.26756391456805867</c:v>
                </c:pt>
                <c:pt idx="38">
                  <c:v>0.26756391456805867</c:v>
                </c:pt>
                <c:pt idx="39">
                  <c:v>0.26756391456805867</c:v>
                </c:pt>
                <c:pt idx="40">
                  <c:v>0.26756391456805867</c:v>
                </c:pt>
                <c:pt idx="41">
                  <c:v>0.26756391456805867</c:v>
                </c:pt>
                <c:pt idx="42">
                  <c:v>0.26756391456805867</c:v>
                </c:pt>
                <c:pt idx="43">
                  <c:v>0.26756391456805867</c:v>
                </c:pt>
              </c:numCache>
            </c:numRef>
          </c:val>
        </c:ser>
        <c:ser>
          <c:idx val="1"/>
          <c:order val="1"/>
          <c:tx>
            <c:strRef>
              <c:f>Dashboard!$E$18</c:f>
              <c:strCache>
                <c:ptCount val="1"/>
                <c:pt idx="0">
                  <c:v>Smith Occupancy %</c:v>
                </c:pt>
              </c:strCache>
            </c:strRef>
          </c:tx>
          <c:spPr>
            <a:ln w="25400">
              <a:solidFill>
                <a:srgbClr val="C65911"/>
              </a:solidFill>
            </a:ln>
          </c:spPr>
          <c:marker>
            <c:symbol val="none"/>
          </c:marker>
          <c:cat>
            <c:numRef>
              <c:f>Dashboard!$A$19:$A$62</c:f>
              <c:numCache>
                <c:formatCode>General</c:formatCode>
                <c:ptCount val="44"/>
                <c:pt idx="0">
                  <c:v>46296</c:v>
                </c:pt>
                <c:pt idx="1">
                  <c:v>46327</c:v>
                </c:pt>
                <c:pt idx="2">
                  <c:v>46357</c:v>
                </c:pt>
                <c:pt idx="3">
                  <c:v>46388</c:v>
                </c:pt>
                <c:pt idx="4">
                  <c:v>46419</c:v>
                </c:pt>
                <c:pt idx="5">
                  <c:v>46447</c:v>
                </c:pt>
                <c:pt idx="6">
                  <c:v>46478</c:v>
                </c:pt>
                <c:pt idx="7">
                  <c:v>46508</c:v>
                </c:pt>
                <c:pt idx="8">
                  <c:v>46539</c:v>
                </c:pt>
                <c:pt idx="9">
                  <c:v>46569</c:v>
                </c:pt>
                <c:pt idx="10">
                  <c:v>46600</c:v>
                </c:pt>
                <c:pt idx="11">
                  <c:v>46631</c:v>
                </c:pt>
                <c:pt idx="12">
                  <c:v>46661</c:v>
                </c:pt>
                <c:pt idx="13">
                  <c:v>46692</c:v>
                </c:pt>
                <c:pt idx="14">
                  <c:v>46722</c:v>
                </c:pt>
                <c:pt idx="15">
                  <c:v>46753</c:v>
                </c:pt>
                <c:pt idx="16">
                  <c:v>46784</c:v>
                </c:pt>
                <c:pt idx="17">
                  <c:v>46813</c:v>
                </c:pt>
                <c:pt idx="18">
                  <c:v>46844</c:v>
                </c:pt>
                <c:pt idx="19">
                  <c:v>46874</c:v>
                </c:pt>
                <c:pt idx="20">
                  <c:v>46905</c:v>
                </c:pt>
                <c:pt idx="21">
                  <c:v>46935</c:v>
                </c:pt>
                <c:pt idx="22">
                  <c:v>46966</c:v>
                </c:pt>
                <c:pt idx="23">
                  <c:v>46997</c:v>
                </c:pt>
                <c:pt idx="24">
                  <c:v>47027</c:v>
                </c:pt>
                <c:pt idx="25">
                  <c:v>47058</c:v>
                </c:pt>
                <c:pt idx="26">
                  <c:v>47088</c:v>
                </c:pt>
                <c:pt idx="27">
                  <c:v>47119</c:v>
                </c:pt>
                <c:pt idx="28">
                  <c:v>47150</c:v>
                </c:pt>
                <c:pt idx="29">
                  <c:v>47178</c:v>
                </c:pt>
                <c:pt idx="30">
                  <c:v>47209</c:v>
                </c:pt>
                <c:pt idx="31">
                  <c:v>47239</c:v>
                </c:pt>
                <c:pt idx="32">
                  <c:v>47270</c:v>
                </c:pt>
                <c:pt idx="33">
                  <c:v>47300</c:v>
                </c:pt>
                <c:pt idx="34">
                  <c:v>47331</c:v>
                </c:pt>
                <c:pt idx="35">
                  <c:v>47362</c:v>
                </c:pt>
                <c:pt idx="36">
                  <c:v>47392</c:v>
                </c:pt>
                <c:pt idx="37">
                  <c:v>47423</c:v>
                </c:pt>
                <c:pt idx="38">
                  <c:v>47453</c:v>
                </c:pt>
                <c:pt idx="39">
                  <c:v>47484</c:v>
                </c:pt>
                <c:pt idx="40">
                  <c:v>47515</c:v>
                </c:pt>
                <c:pt idx="41">
                  <c:v>47543</c:v>
                </c:pt>
                <c:pt idx="42">
                  <c:v>47574</c:v>
                </c:pt>
                <c:pt idx="43">
                  <c:v>47604</c:v>
                </c:pt>
              </c:numCache>
            </c:numRef>
          </c:cat>
          <c:val>
            <c:numRef>
              <c:f>Dashboard!$E$19:$E$62</c:f>
              <c:numCache>
                <c:formatCode>General</c:formatCode>
                <c:ptCount val="44"/>
                <c:pt idx="0">
                  <c:v>0.29342627338851923</c:v>
                </c:pt>
                <c:pt idx="1">
                  <c:v>0.29009966244970276</c:v>
                </c:pt>
                <c:pt idx="2">
                  <c:v>0.28680931265287474</c:v>
                </c:pt>
                <c:pt idx="3">
                  <c:v>0.409579217605817</c:v>
                </c:pt>
                <c:pt idx="4">
                  <c:v>0.4049295989741193</c:v>
                </c:pt>
                <c:pt idx="5">
                  <c:v>0.20589467866440392</c:v>
                </c:pt>
                <c:pt idx="6">
                  <c:v>0.16192871897979563</c:v>
                </c:pt>
                <c:pt idx="7">
                  <c:v>0.13354472492862346</c:v>
                </c:pt>
                <c:pt idx="8">
                  <c:v>0.11459264379906078</c:v>
                </c:pt>
                <c:pt idx="9">
                  <c:v>0.10386159816985038</c:v>
                </c:pt>
                <c:pt idx="10">
                  <c:v>0.09499999999999997</c:v>
                </c:pt>
                <c:pt idx="11">
                  <c:v>0.09499999999999999</c:v>
                </c:pt>
                <c:pt idx="12">
                  <c:v>0.09499999999999999</c:v>
                </c:pt>
                <c:pt idx="13">
                  <c:v>0.09499999999999999</c:v>
                </c:pt>
                <c:pt idx="14">
                  <c:v>0.09499999999999999</c:v>
                </c:pt>
                <c:pt idx="15">
                  <c:v>0.09500000000000001</c:v>
                </c:pt>
                <c:pt idx="16">
                  <c:v>0.095</c:v>
                </c:pt>
                <c:pt idx="17">
                  <c:v>0.095</c:v>
                </c:pt>
                <c:pt idx="18">
                  <c:v>0.095</c:v>
                </c:pt>
                <c:pt idx="19">
                  <c:v>0.095</c:v>
                </c:pt>
                <c:pt idx="20">
                  <c:v>0.09499999999999999</c:v>
                </c:pt>
                <c:pt idx="21">
                  <c:v>0.095</c:v>
                </c:pt>
                <c:pt idx="22">
                  <c:v>0.095</c:v>
                </c:pt>
                <c:pt idx="23">
                  <c:v>0.095</c:v>
                </c:pt>
                <c:pt idx="24">
                  <c:v>0.095</c:v>
                </c:pt>
                <c:pt idx="25">
                  <c:v>0.095</c:v>
                </c:pt>
                <c:pt idx="26">
                  <c:v>0.095</c:v>
                </c:pt>
                <c:pt idx="27">
                  <c:v>0.095</c:v>
                </c:pt>
                <c:pt idx="28">
                  <c:v>0.095</c:v>
                </c:pt>
                <c:pt idx="29">
                  <c:v>0.09500000000000001</c:v>
                </c:pt>
                <c:pt idx="30">
                  <c:v>0.095</c:v>
                </c:pt>
                <c:pt idx="31">
                  <c:v>0.09499999999999999</c:v>
                </c:pt>
                <c:pt idx="32">
                  <c:v>0.095</c:v>
                </c:pt>
                <c:pt idx="33">
                  <c:v>0.095</c:v>
                </c:pt>
                <c:pt idx="34">
                  <c:v>0.095</c:v>
                </c:pt>
                <c:pt idx="35">
                  <c:v>0.095</c:v>
                </c:pt>
                <c:pt idx="36">
                  <c:v>0.095</c:v>
                </c:pt>
                <c:pt idx="37">
                  <c:v>0.095</c:v>
                </c:pt>
                <c:pt idx="38">
                  <c:v>0.095</c:v>
                </c:pt>
                <c:pt idx="39">
                  <c:v>0.095</c:v>
                </c:pt>
                <c:pt idx="40">
                  <c:v>0.095</c:v>
                </c:pt>
                <c:pt idx="41">
                  <c:v>0.09499999999999999</c:v>
                </c:pt>
                <c:pt idx="42">
                  <c:v>0.095</c:v>
                </c:pt>
                <c:pt idx="43">
                  <c:v>0.095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numFmt formatCode="mmm-yy" sourceLinked="0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of revenue</a:t>
                </a:r>
              </a:p>
            </c:rich>
          </c:tx>
          <c:layout/>
        </c:title>
        <c:numFmt formatCode="0%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14</xdr:col>
      <xdr:colOff>76200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A7F78"/>
    <pageSetUpPr fitToPage="1"/>
  </sheetPr>
  <dimension ref="A1:H33"/>
  <sheetViews>
    <sheetView showGridLines="0" tabSelected="1" workbookViewId="0"/>
  </sheetViews>
  <sheetFormatPr defaultRowHeight="15"/>
  <cols>
    <col min="1" max="1" width="18.7109375" customWidth="1"/>
    <col min="2" max="8" width="16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4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3" t="s">
        <v>2</v>
      </c>
      <c r="B4" s="3" t="s">
        <v>3</v>
      </c>
      <c r="C4" s="3"/>
      <c r="D4" s="3"/>
      <c r="E4" s="3"/>
      <c r="F4" s="3"/>
      <c r="G4" s="3"/>
      <c r="H4" s="3"/>
    </row>
    <row r="6" spans="1:8">
      <c r="A6" s="4" t="s">
        <v>4</v>
      </c>
      <c r="B6" s="4" t="s">
        <v>5</v>
      </c>
    </row>
    <row r="7" spans="1:8">
      <c r="A7" s="5" t="s">
        <v>6</v>
      </c>
      <c r="B7" s="6" t="s">
        <v>7</v>
      </c>
      <c r="C7" s="6"/>
      <c r="D7" s="6"/>
      <c r="E7" s="6"/>
      <c r="F7" s="6"/>
      <c r="G7" s="6"/>
      <c r="H7" s="6"/>
    </row>
    <row r="8" spans="1:8">
      <c r="A8" s="5" t="s">
        <v>8</v>
      </c>
      <c r="B8" s="6" t="s">
        <v>9</v>
      </c>
      <c r="C8" s="6"/>
      <c r="D8" s="6"/>
      <c r="E8" s="6"/>
      <c r="F8" s="6"/>
      <c r="G8" s="6"/>
      <c r="H8" s="6"/>
    </row>
    <row r="9" spans="1:8">
      <c r="A9" s="5" t="s">
        <v>10</v>
      </c>
      <c r="B9" s="6" t="s">
        <v>11</v>
      </c>
      <c r="C9" s="6"/>
      <c r="D9" s="6"/>
      <c r="E9" s="6"/>
      <c r="F9" s="6"/>
      <c r="G9" s="6"/>
      <c r="H9" s="6"/>
    </row>
    <row r="10" spans="1:8">
      <c r="A10" s="5" t="s">
        <v>12</v>
      </c>
      <c r="B10" s="6" t="s">
        <v>13</v>
      </c>
      <c r="C10" s="6"/>
      <c r="D10" s="6"/>
      <c r="E10" s="6"/>
      <c r="F10" s="6"/>
      <c r="G10" s="6"/>
      <c r="H10" s="6"/>
    </row>
    <row r="12" spans="1:8">
      <c r="A12" s="3" t="s">
        <v>14</v>
      </c>
      <c r="B12" s="3" t="s">
        <v>15</v>
      </c>
      <c r="C12" s="3"/>
      <c r="D12" s="3"/>
      <c r="E12" s="3"/>
      <c r="F12" s="3"/>
      <c r="G12" s="3"/>
      <c r="H12" s="3"/>
    </row>
    <row r="13" spans="1:8">
      <c r="A13" s="7" t="s">
        <v>16</v>
      </c>
      <c r="B13" s="6" t="s">
        <v>17</v>
      </c>
      <c r="C13" s="6"/>
      <c r="D13" s="6"/>
      <c r="E13" s="6"/>
      <c r="F13" s="6"/>
      <c r="G13" s="6"/>
      <c r="H13" s="6"/>
    </row>
    <row r="15" spans="1:8">
      <c r="A15" s="4" t="s">
        <v>18</v>
      </c>
      <c r="B15" s="4" t="s">
        <v>19</v>
      </c>
    </row>
    <row r="16" spans="1:8">
      <c r="A16" s="8" t="s">
        <v>20</v>
      </c>
      <c r="B16" s="6" t="s">
        <v>21</v>
      </c>
      <c r="C16" s="6"/>
      <c r="D16" s="6"/>
      <c r="E16" s="6"/>
      <c r="F16" s="6"/>
      <c r="G16" s="6"/>
      <c r="H16" s="6"/>
    </row>
    <row r="17" spans="1:8">
      <c r="A17" s="8" t="s">
        <v>22</v>
      </c>
      <c r="B17" s="6" t="s">
        <v>23</v>
      </c>
      <c r="C17" s="6"/>
      <c r="D17" s="6"/>
      <c r="E17" s="6"/>
      <c r="F17" s="6"/>
      <c r="G17" s="6"/>
      <c r="H17" s="6"/>
    </row>
    <row r="18" spans="1:8">
      <c r="A18" s="8" t="s">
        <v>24</v>
      </c>
      <c r="B18" s="6" t="s">
        <v>25</v>
      </c>
      <c r="C18" s="6"/>
      <c r="D18" s="6"/>
      <c r="E18" s="6"/>
      <c r="F18" s="6"/>
      <c r="G18" s="6"/>
      <c r="H18" s="6"/>
    </row>
    <row r="19" spans="1:8">
      <c r="A19" s="8" t="s">
        <v>26</v>
      </c>
      <c r="B19" s="6" t="s">
        <v>27</v>
      </c>
      <c r="C19" s="6"/>
      <c r="D19" s="6"/>
      <c r="E19" s="6"/>
      <c r="F19" s="6"/>
      <c r="G19" s="6"/>
      <c r="H19" s="6"/>
    </row>
    <row r="22" spans="1:8">
      <c r="A22" s="3" t="s">
        <v>28</v>
      </c>
    </row>
    <row r="23" spans="1:8" ht="31" customHeight="1">
      <c r="A23" s="6" t="s">
        <v>29</v>
      </c>
      <c r="B23" s="6"/>
      <c r="C23" s="6"/>
      <c r="D23" s="6"/>
      <c r="E23" s="6"/>
      <c r="F23" s="6"/>
      <c r="G23" s="6"/>
      <c r="H23" s="6"/>
    </row>
    <row r="24" spans="1:8" ht="31" customHeight="1">
      <c r="A24" s="6" t="s">
        <v>30</v>
      </c>
      <c r="B24" s="6"/>
      <c r="C24" s="6"/>
      <c r="D24" s="6"/>
      <c r="E24" s="6"/>
      <c r="F24" s="6"/>
      <c r="G24" s="6"/>
      <c r="H24" s="6"/>
    </row>
    <row r="25" spans="1:8" ht="31" customHeight="1">
      <c r="A25" s="6" t="s">
        <v>31</v>
      </c>
      <c r="B25" s="6"/>
      <c r="C25" s="6"/>
      <c r="D25" s="6"/>
      <c r="E25" s="6"/>
      <c r="F25" s="6"/>
      <c r="G25" s="6"/>
      <c r="H25" s="6"/>
    </row>
    <row r="26" spans="1:8" ht="31" customHeight="1">
      <c r="A26" s="6" t="s">
        <v>32</v>
      </c>
      <c r="B26" s="6"/>
      <c r="C26" s="6"/>
      <c r="D26" s="6"/>
      <c r="E26" s="6"/>
      <c r="F26" s="6"/>
      <c r="G26" s="6"/>
      <c r="H26" s="6"/>
    </row>
    <row r="27" spans="1:8" ht="31" customHeight="1">
      <c r="A27" s="6" t="s">
        <v>33</v>
      </c>
      <c r="B27" s="6"/>
      <c r="C27" s="6"/>
      <c r="D27" s="6"/>
      <c r="E27" s="6"/>
      <c r="F27" s="6"/>
      <c r="G27" s="6"/>
      <c r="H27" s="6"/>
    </row>
    <row r="28" spans="1:8" ht="31" customHeight="1">
      <c r="A28" s="6" t="s">
        <v>34</v>
      </c>
      <c r="B28" s="6"/>
      <c r="C28" s="6"/>
      <c r="D28" s="6"/>
      <c r="E28" s="6"/>
      <c r="F28" s="6"/>
      <c r="G28" s="6"/>
      <c r="H28" s="6"/>
    </row>
    <row r="30" spans="1:8">
      <c r="A30" s="3" t="s">
        <v>35</v>
      </c>
    </row>
    <row r="31" spans="1:8">
      <c r="A31" s="9" t="s">
        <v>36</v>
      </c>
      <c r="B31" s="9"/>
      <c r="C31" s="9"/>
      <c r="D31" s="9"/>
      <c r="E31" s="9"/>
      <c r="F31" s="9"/>
      <c r="G31" s="9"/>
      <c r="H31" s="9"/>
    </row>
    <row r="32" spans="1:8">
      <c r="A32" s="9"/>
      <c r="B32" s="9"/>
      <c r="C32" s="9"/>
      <c r="D32" s="9"/>
      <c r="E32" s="9"/>
      <c r="F32" s="9"/>
      <c r="G32" s="9"/>
      <c r="H32" s="9"/>
    </row>
    <row r="33" spans="1:8">
      <c r="A33" s="9"/>
      <c r="B33" s="9"/>
      <c r="C33" s="9"/>
      <c r="D33" s="9"/>
      <c r="E33" s="9"/>
      <c r="F33" s="9"/>
      <c r="G33" s="9"/>
      <c r="H33" s="9"/>
    </row>
  </sheetData>
  <mergeCells count="20">
    <mergeCell ref="A1:H1"/>
    <mergeCell ref="A2:H2"/>
    <mergeCell ref="B4:H4"/>
    <mergeCell ref="B7:H7"/>
    <mergeCell ref="B8:H8"/>
    <mergeCell ref="B9:H9"/>
    <mergeCell ref="B10:H10"/>
    <mergeCell ref="B12:H12"/>
    <mergeCell ref="B13:H13"/>
    <mergeCell ref="B16:H16"/>
    <mergeCell ref="B17:H17"/>
    <mergeCell ref="B18:H18"/>
    <mergeCell ref="B19:H19"/>
    <mergeCell ref="A23:H23"/>
    <mergeCell ref="A24:H24"/>
    <mergeCell ref="A25:H25"/>
    <mergeCell ref="A26:H26"/>
    <mergeCell ref="A27:H27"/>
    <mergeCell ref="A28:H28"/>
    <mergeCell ref="A31:H33"/>
  </mergeCells>
  <pageMargins left="0.7" right="0.7" top="0.75" bottom="0.75" header="0.3" footer="0.3"/>
  <pageSetup orientation="landscape"/>
  <headerFooter>
    <oddHeader>&amp;LLocal Effort Cooperative&amp;C608 Smith Avenue Pro Forma&amp;R&amp;D</oddHeader>
    <oddFooter>&amp;LInternal planning model&amp;CPage &amp;P of &amp;N&amp;RUpdated 2026-10-01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7F78"/>
    <pageSetUpPr fitToPage="1"/>
  </sheetPr>
  <dimension ref="A1:G59"/>
  <sheetViews>
    <sheetView showGridLines="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5"/>
  <cols>
    <col min="1" max="1" width="38.7109375" customWidth="1"/>
    <col min="2" max="2" width="16.7109375" customWidth="1"/>
    <col min="3" max="3" width="17.7109375" customWidth="1"/>
    <col min="4" max="6" width="14.7109375" customWidth="1"/>
    <col min="7" max="7" width="62.7109375" customWidth="1"/>
  </cols>
  <sheetData>
    <row r="1" spans="1:7" ht="30" customHeight="1">
      <c r="A1" s="1" t="s">
        <v>37</v>
      </c>
      <c r="B1" s="1"/>
      <c r="C1" s="1"/>
      <c r="D1" s="1"/>
      <c r="E1" s="1"/>
      <c r="F1" s="1"/>
      <c r="G1" s="1"/>
    </row>
    <row r="2" spans="1:7">
      <c r="A2" s="2" t="s">
        <v>38</v>
      </c>
      <c r="B2" s="2"/>
      <c r="C2" s="2"/>
      <c r="D2" s="2"/>
      <c r="E2" s="2"/>
      <c r="F2" s="2"/>
      <c r="G2" s="2"/>
    </row>
    <row r="4" spans="1:7">
      <c r="A4" s="10" t="s">
        <v>39</v>
      </c>
      <c r="B4" s="7" t="s">
        <v>40</v>
      </c>
      <c r="C4" s="11" t="s">
        <v>41</v>
      </c>
      <c r="D4" s="11"/>
      <c r="E4" s="11"/>
      <c r="F4" s="11"/>
      <c r="G4" s="11"/>
    </row>
    <row r="5" spans="1:7">
      <c r="A5" s="11" t="s">
        <v>42</v>
      </c>
      <c r="B5" s="11"/>
      <c r="C5" s="11"/>
      <c r="D5" s="11"/>
      <c r="E5" s="11"/>
      <c r="F5" s="11"/>
      <c r="G5" s="11"/>
    </row>
    <row r="7" spans="1:7">
      <c r="A7" s="4" t="s">
        <v>43</v>
      </c>
      <c r="B7" s="4" t="s">
        <v>18</v>
      </c>
      <c r="C7" s="4" t="s">
        <v>44</v>
      </c>
      <c r="D7" s="4" t="s">
        <v>45</v>
      </c>
      <c r="E7" s="4" t="s">
        <v>40</v>
      </c>
      <c r="F7" s="4" t="s">
        <v>46</v>
      </c>
      <c r="G7" s="4" t="s">
        <v>47</v>
      </c>
    </row>
    <row r="8" spans="1:7">
      <c r="A8" s="5" t="s">
        <v>48</v>
      </c>
      <c r="B8" s="8" t="s">
        <v>24</v>
      </c>
      <c r="C8" s="12" t="s">
        <v>49</v>
      </c>
      <c r="D8" s="13">
        <v>1400</v>
      </c>
      <c r="E8" s="13">
        <v>1000</v>
      </c>
      <c r="F8" s="13">
        <v>700</v>
      </c>
      <c r="G8" s="14" t="s">
        <v>50</v>
      </c>
    </row>
    <row r="9" spans="1:7">
      <c r="A9" s="5" t="s">
        <v>51</v>
      </c>
      <c r="B9" s="8" t="s">
        <v>24</v>
      </c>
      <c r="C9" s="12" t="s">
        <v>52</v>
      </c>
      <c r="D9" s="15">
        <v>0</v>
      </c>
      <c r="E9" s="15">
        <v>1</v>
      </c>
      <c r="F9" s="15">
        <v>1</v>
      </c>
      <c r="G9" s="14" t="s">
        <v>53</v>
      </c>
    </row>
    <row r="10" spans="1:7">
      <c r="A10" s="5" t="s">
        <v>54</v>
      </c>
      <c r="B10" s="8" t="s">
        <v>24</v>
      </c>
      <c r="C10" s="12" t="s">
        <v>55</v>
      </c>
      <c r="D10" s="16">
        <v>0.5</v>
      </c>
      <c r="E10" s="16">
        <v>0.75</v>
      </c>
      <c r="F10" s="16">
        <v>1</v>
      </c>
      <c r="G10" s="14" t="s">
        <v>56</v>
      </c>
    </row>
    <row r="11" spans="1:7">
      <c r="A11" s="5" t="s">
        <v>57</v>
      </c>
      <c r="B11" s="8" t="s">
        <v>24</v>
      </c>
      <c r="C11" s="12" t="s">
        <v>58</v>
      </c>
      <c r="D11" s="15">
        <v>1.5</v>
      </c>
      <c r="E11" s="15">
        <v>3</v>
      </c>
      <c r="F11" s="15">
        <v>4</v>
      </c>
      <c r="G11" s="14" t="s">
        <v>59</v>
      </c>
    </row>
    <row r="12" spans="1:7">
      <c r="A12" s="5" t="s">
        <v>60</v>
      </c>
      <c r="B12" s="8" t="s">
        <v>24</v>
      </c>
      <c r="C12" s="12" t="s">
        <v>61</v>
      </c>
      <c r="D12" s="16">
        <v>0.25</v>
      </c>
      <c r="E12" s="16">
        <v>0.18</v>
      </c>
      <c r="F12" s="16">
        <v>0.12</v>
      </c>
      <c r="G12" s="14" t="s">
        <v>62</v>
      </c>
    </row>
    <row r="13" spans="1:7">
      <c r="A13" s="5" t="s">
        <v>63</v>
      </c>
      <c r="B13" s="8" t="s">
        <v>24</v>
      </c>
      <c r="C13" s="12" t="s">
        <v>64</v>
      </c>
      <c r="D13" s="15">
        <v>1</v>
      </c>
      <c r="E13" s="15">
        <v>2</v>
      </c>
      <c r="F13" s="15">
        <v>3</v>
      </c>
      <c r="G13" s="14" t="s">
        <v>65</v>
      </c>
    </row>
    <row r="14" spans="1:7">
      <c r="A14" s="5" t="s">
        <v>66</v>
      </c>
      <c r="B14" s="8" t="s">
        <v>22</v>
      </c>
      <c r="C14" s="12" t="s">
        <v>67</v>
      </c>
      <c r="D14" s="13">
        <v>2100</v>
      </c>
      <c r="E14" s="13">
        <v>2100</v>
      </c>
      <c r="F14" s="13">
        <v>2100</v>
      </c>
      <c r="G14" s="14" t="s">
        <v>68</v>
      </c>
    </row>
    <row r="15" spans="1:7">
      <c r="A15" s="5" t="s">
        <v>69</v>
      </c>
      <c r="B15" s="8" t="s">
        <v>22</v>
      </c>
      <c r="C15" s="12" t="s">
        <v>67</v>
      </c>
      <c r="D15" s="13">
        <v>1350</v>
      </c>
      <c r="E15" s="13">
        <v>1350</v>
      </c>
      <c r="F15" s="13">
        <v>1350</v>
      </c>
      <c r="G15" s="14" t="s">
        <v>70</v>
      </c>
    </row>
    <row r="16" spans="1:7">
      <c r="A16" s="5" t="s">
        <v>71</v>
      </c>
      <c r="B16" s="8" t="s">
        <v>24</v>
      </c>
      <c r="C16" s="12" t="s">
        <v>72</v>
      </c>
      <c r="D16" s="15">
        <v>1</v>
      </c>
      <c r="E16" s="15">
        <v>2</v>
      </c>
      <c r="F16" s="15">
        <v>4</v>
      </c>
      <c r="G16" s="14" t="s">
        <v>73</v>
      </c>
    </row>
    <row r="17" spans="1:7">
      <c r="A17" s="5" t="s">
        <v>74</v>
      </c>
      <c r="B17" s="8" t="s">
        <v>24</v>
      </c>
      <c r="C17" s="12" t="s">
        <v>75</v>
      </c>
      <c r="D17" s="13">
        <v>800</v>
      </c>
      <c r="E17" s="13">
        <v>1200</v>
      </c>
      <c r="F17" s="13">
        <v>1800</v>
      </c>
      <c r="G17" s="14" t="s">
        <v>76</v>
      </c>
    </row>
    <row r="18" spans="1:7" ht="33" customHeight="1">
      <c r="A18" s="5" t="s">
        <v>77</v>
      </c>
      <c r="B18" s="8" t="s">
        <v>24</v>
      </c>
      <c r="C18" s="12" t="s">
        <v>49</v>
      </c>
      <c r="D18" s="13">
        <v>4334.42</v>
      </c>
      <c r="E18" s="13">
        <v>4334.42</v>
      </c>
      <c r="F18" s="13">
        <v>4334.42</v>
      </c>
      <c r="G18" s="14" t="s">
        <v>78</v>
      </c>
    </row>
    <row r="19" spans="1:7">
      <c r="A19" s="5" t="s">
        <v>79</v>
      </c>
      <c r="B19" s="8" t="s">
        <v>24</v>
      </c>
      <c r="C19" s="12" t="s">
        <v>80</v>
      </c>
      <c r="D19" s="16">
        <v>0</v>
      </c>
      <c r="E19" s="16">
        <v>0.01</v>
      </c>
      <c r="F19" s="16">
        <v>0.02</v>
      </c>
      <c r="G19" s="14" t="s">
        <v>81</v>
      </c>
    </row>
    <row r="20" spans="1:7">
      <c r="A20" s="5" t="s">
        <v>82</v>
      </c>
      <c r="B20" s="8" t="s">
        <v>24</v>
      </c>
      <c r="C20" s="12" t="s">
        <v>83</v>
      </c>
      <c r="D20" s="15">
        <v>100</v>
      </c>
      <c r="E20" s="15">
        <v>200</v>
      </c>
      <c r="F20" s="15">
        <v>350</v>
      </c>
      <c r="G20" s="14" t="s">
        <v>84</v>
      </c>
    </row>
    <row r="21" spans="1:7">
      <c r="A21" s="5" t="s">
        <v>85</v>
      </c>
      <c r="B21" s="8" t="s">
        <v>24</v>
      </c>
      <c r="C21" s="12" t="s">
        <v>86</v>
      </c>
      <c r="D21" s="13">
        <v>8.1</v>
      </c>
      <c r="E21" s="13">
        <v>9</v>
      </c>
      <c r="F21" s="13">
        <v>11</v>
      </c>
      <c r="G21" s="14" t="s">
        <v>87</v>
      </c>
    </row>
    <row r="22" spans="1:7">
      <c r="A22" s="5" t="s">
        <v>88</v>
      </c>
      <c r="B22" s="8" t="s">
        <v>24</v>
      </c>
      <c r="C22" s="12" t="s">
        <v>80</v>
      </c>
      <c r="D22" s="16">
        <v>0</v>
      </c>
      <c r="E22" s="16">
        <v>0.015</v>
      </c>
      <c r="F22" s="16">
        <v>0.03</v>
      </c>
      <c r="G22" s="14" t="s">
        <v>89</v>
      </c>
    </row>
    <row r="23" spans="1:7">
      <c r="A23" s="5" t="s">
        <v>90</v>
      </c>
      <c r="B23" s="8" t="s">
        <v>24</v>
      </c>
      <c r="C23" s="12" t="s">
        <v>91</v>
      </c>
      <c r="D23" s="17">
        <v>46539</v>
      </c>
      <c r="E23" s="17">
        <v>46447</v>
      </c>
      <c r="F23" s="17">
        <v>46447</v>
      </c>
      <c r="G23" s="14" t="s">
        <v>92</v>
      </c>
    </row>
    <row r="24" spans="1:7">
      <c r="A24" s="5" t="s">
        <v>93</v>
      </c>
      <c r="B24" s="8" t="s">
        <v>24</v>
      </c>
      <c r="C24" s="12" t="s">
        <v>94</v>
      </c>
      <c r="D24" s="16">
        <v>0.1</v>
      </c>
      <c r="E24" s="16">
        <v>0.095</v>
      </c>
      <c r="F24" s="16">
        <v>0.09</v>
      </c>
      <c r="G24" s="14" t="s">
        <v>95</v>
      </c>
    </row>
    <row r="25" spans="1:7">
      <c r="A25" s="5" t="s">
        <v>96</v>
      </c>
      <c r="B25" s="8" t="s">
        <v>24</v>
      </c>
      <c r="C25" s="12" t="s">
        <v>97</v>
      </c>
      <c r="D25" s="13">
        <v>18</v>
      </c>
      <c r="E25" s="13">
        <v>20</v>
      </c>
      <c r="F25" s="13">
        <v>22</v>
      </c>
      <c r="G25" s="14" t="s">
        <v>98</v>
      </c>
    </row>
    <row r="26" spans="1:7">
      <c r="A26" s="5" t="s">
        <v>99</v>
      </c>
      <c r="B26" s="8" t="s">
        <v>24</v>
      </c>
      <c r="C26" s="12" t="s">
        <v>100</v>
      </c>
      <c r="D26" s="15">
        <v>20</v>
      </c>
      <c r="E26" s="15">
        <v>22</v>
      </c>
      <c r="F26" s="15">
        <v>24</v>
      </c>
      <c r="G26" s="14" t="s">
        <v>98</v>
      </c>
    </row>
    <row r="27" spans="1:7">
      <c r="A27" s="5" t="s">
        <v>101</v>
      </c>
      <c r="B27" s="8" t="s">
        <v>24</v>
      </c>
      <c r="C27" s="12" t="s">
        <v>102</v>
      </c>
      <c r="D27" s="16">
        <v>0.22</v>
      </c>
      <c r="E27" s="16">
        <v>0.21</v>
      </c>
      <c r="F27" s="16">
        <v>0.2</v>
      </c>
      <c r="G27" s="14" t="s">
        <v>103</v>
      </c>
    </row>
    <row r="28" spans="1:7">
      <c r="A28" s="5" t="s">
        <v>104</v>
      </c>
      <c r="B28" s="8" t="s">
        <v>24</v>
      </c>
      <c r="C28" s="12" t="s">
        <v>105</v>
      </c>
      <c r="D28" s="16">
        <v>0.15</v>
      </c>
      <c r="E28" s="16">
        <v>0.12</v>
      </c>
      <c r="F28" s="16">
        <v>0.1</v>
      </c>
      <c r="G28" s="14" t="s">
        <v>106</v>
      </c>
    </row>
    <row r="29" spans="1:7">
      <c r="A29" s="5" t="s">
        <v>107</v>
      </c>
      <c r="B29" s="8" t="s">
        <v>24</v>
      </c>
      <c r="C29" s="12" t="s">
        <v>105</v>
      </c>
      <c r="D29" s="16">
        <v>0.22</v>
      </c>
      <c r="E29" s="16">
        <v>0.17</v>
      </c>
      <c r="F29" s="16">
        <v>0.14</v>
      </c>
      <c r="G29" s="14" t="s">
        <v>108</v>
      </c>
    </row>
    <row r="30" spans="1:7">
      <c r="A30" s="5" t="s">
        <v>109</v>
      </c>
      <c r="B30" s="8" t="s">
        <v>24</v>
      </c>
      <c r="C30" s="12" t="s">
        <v>105</v>
      </c>
      <c r="D30" s="16">
        <v>0.2</v>
      </c>
      <c r="E30" s="16">
        <v>0.14</v>
      </c>
      <c r="F30" s="16">
        <v>0.11</v>
      </c>
      <c r="G30" s="14" t="s">
        <v>110</v>
      </c>
    </row>
    <row r="31" spans="1:7">
      <c r="A31" s="5" t="s">
        <v>111</v>
      </c>
      <c r="B31" s="8" t="s">
        <v>24</v>
      </c>
      <c r="C31" s="12" t="s">
        <v>112</v>
      </c>
      <c r="D31" s="16">
        <v>0.12</v>
      </c>
      <c r="E31" s="16">
        <v>0.1</v>
      </c>
      <c r="F31" s="16">
        <v>0.08</v>
      </c>
      <c r="G31" s="14" t="s">
        <v>113</v>
      </c>
    </row>
    <row r="32" spans="1:7">
      <c r="A32" s="5" t="s">
        <v>114</v>
      </c>
      <c r="B32" s="8" t="s">
        <v>22</v>
      </c>
      <c r="C32" s="12" t="s">
        <v>49</v>
      </c>
      <c r="D32" s="13">
        <v>7500</v>
      </c>
      <c r="E32" s="13">
        <v>7500</v>
      </c>
      <c r="F32" s="13">
        <v>7500</v>
      </c>
      <c r="G32" s="14" t="s">
        <v>115</v>
      </c>
    </row>
    <row r="33" spans="1:7">
      <c r="A33" s="5" t="s">
        <v>116</v>
      </c>
      <c r="B33" s="8" t="s">
        <v>26</v>
      </c>
      <c r="C33" s="12" t="s">
        <v>91</v>
      </c>
      <c r="D33" s="17">
        <v>46296</v>
      </c>
      <c r="E33" s="17">
        <v>46296</v>
      </c>
      <c r="F33" s="17">
        <v>46296</v>
      </c>
      <c r="G33" s="14" t="s">
        <v>117</v>
      </c>
    </row>
    <row r="34" spans="1:7">
      <c r="A34" s="5" t="s">
        <v>118</v>
      </c>
      <c r="B34" s="8" t="s">
        <v>26</v>
      </c>
      <c r="C34" s="12" t="s">
        <v>119</v>
      </c>
      <c r="D34" s="13">
        <v>0</v>
      </c>
      <c r="E34" s="13">
        <v>0</v>
      </c>
      <c r="F34" s="13">
        <v>0</v>
      </c>
      <c r="G34" s="14" t="s">
        <v>120</v>
      </c>
    </row>
    <row r="35" spans="1:7">
      <c r="A35" s="5" t="s">
        <v>121</v>
      </c>
      <c r="B35" s="8" t="s">
        <v>26</v>
      </c>
      <c r="C35" s="12" t="s">
        <v>91</v>
      </c>
      <c r="D35" s="17">
        <v>46296</v>
      </c>
      <c r="E35" s="17">
        <v>46296</v>
      </c>
      <c r="F35" s="17">
        <v>46296</v>
      </c>
      <c r="G35" s="14" t="s">
        <v>122</v>
      </c>
    </row>
    <row r="36" spans="1:7">
      <c r="A36" s="5" t="s">
        <v>123</v>
      </c>
      <c r="B36" s="8" t="s">
        <v>26</v>
      </c>
      <c r="C36" s="12" t="s">
        <v>49</v>
      </c>
      <c r="D36" s="13">
        <v>0</v>
      </c>
      <c r="E36" s="13">
        <v>0</v>
      </c>
      <c r="F36" s="13">
        <v>0</v>
      </c>
      <c r="G36" s="14" t="s">
        <v>124</v>
      </c>
    </row>
    <row r="37" spans="1:7">
      <c r="A37" s="5" t="s">
        <v>125</v>
      </c>
      <c r="B37" s="8" t="s">
        <v>24</v>
      </c>
      <c r="C37" s="12" t="s">
        <v>102</v>
      </c>
      <c r="D37" s="16">
        <v>0.04</v>
      </c>
      <c r="E37" s="16">
        <v>0.03</v>
      </c>
      <c r="F37" s="16">
        <v>0.02</v>
      </c>
      <c r="G37" s="14" t="s">
        <v>126</v>
      </c>
    </row>
    <row r="38" spans="1:7">
      <c r="A38" s="5" t="s">
        <v>127</v>
      </c>
      <c r="B38" s="8" t="s">
        <v>24</v>
      </c>
      <c r="C38" s="12" t="s">
        <v>128</v>
      </c>
      <c r="D38" s="16">
        <v>0.03</v>
      </c>
      <c r="E38" s="16">
        <v>0.03</v>
      </c>
      <c r="F38" s="16">
        <v>0.03</v>
      </c>
      <c r="G38" s="14" t="s">
        <v>129</v>
      </c>
    </row>
    <row r="39" spans="1:7" ht="33" customHeight="1">
      <c r="A39" s="5" t="s">
        <v>130</v>
      </c>
      <c r="B39" s="8" t="s">
        <v>24</v>
      </c>
      <c r="C39" s="12" t="s">
        <v>49</v>
      </c>
      <c r="D39" s="13">
        <v>1855.65</v>
      </c>
      <c r="E39" s="13">
        <v>1686.95</v>
      </c>
      <c r="F39" s="13">
        <v>1518.26</v>
      </c>
      <c r="G39" s="14" t="s">
        <v>131</v>
      </c>
    </row>
    <row r="40" spans="1:7">
      <c r="A40" s="5" t="s">
        <v>132</v>
      </c>
      <c r="B40" s="8" t="s">
        <v>20</v>
      </c>
      <c r="C40" s="12" t="s">
        <v>119</v>
      </c>
      <c r="D40" s="13">
        <v>102.23</v>
      </c>
      <c r="E40" s="13">
        <v>102.23</v>
      </c>
      <c r="F40" s="13">
        <v>102.23</v>
      </c>
      <c r="G40" s="14" t="s">
        <v>133</v>
      </c>
    </row>
    <row r="41" spans="1:7">
      <c r="A41" s="5" t="s">
        <v>134</v>
      </c>
      <c r="B41" s="8" t="s">
        <v>22</v>
      </c>
      <c r="C41" s="12" t="s">
        <v>49</v>
      </c>
      <c r="D41" s="13">
        <v>400</v>
      </c>
      <c r="E41" s="13">
        <v>400</v>
      </c>
      <c r="F41" s="13">
        <v>400</v>
      </c>
      <c r="G41" s="14" t="s">
        <v>135</v>
      </c>
    </row>
    <row r="42" spans="1:7">
      <c r="A42" s="5" t="s">
        <v>136</v>
      </c>
      <c r="B42" s="8" t="s">
        <v>22</v>
      </c>
      <c r="C42" s="12" t="s">
        <v>49</v>
      </c>
      <c r="D42" s="13">
        <v>1800</v>
      </c>
      <c r="E42" s="13">
        <v>1800</v>
      </c>
      <c r="F42" s="13">
        <v>1800</v>
      </c>
      <c r="G42" s="14" t="s">
        <v>137</v>
      </c>
    </row>
    <row r="43" spans="1:7">
      <c r="A43" s="5" t="s">
        <v>138</v>
      </c>
      <c r="B43" s="8" t="s">
        <v>22</v>
      </c>
      <c r="C43" s="12" t="s">
        <v>49</v>
      </c>
      <c r="D43" s="13">
        <v>2600</v>
      </c>
      <c r="E43" s="13">
        <v>2600</v>
      </c>
      <c r="F43" s="13">
        <v>2600</v>
      </c>
      <c r="G43" s="14" t="s">
        <v>137</v>
      </c>
    </row>
    <row r="44" spans="1:7">
      <c r="A44" s="5" t="s">
        <v>139</v>
      </c>
      <c r="B44" s="8" t="s">
        <v>22</v>
      </c>
      <c r="C44" s="12" t="s">
        <v>49</v>
      </c>
      <c r="D44" s="13">
        <v>3400</v>
      </c>
      <c r="E44" s="13">
        <v>3400</v>
      </c>
      <c r="F44" s="13">
        <v>3400</v>
      </c>
      <c r="G44" s="14" t="s">
        <v>140</v>
      </c>
    </row>
    <row r="45" spans="1:7">
      <c r="A45" s="5" t="s">
        <v>141</v>
      </c>
      <c r="B45" s="8" t="s">
        <v>22</v>
      </c>
      <c r="C45" s="12" t="s">
        <v>49</v>
      </c>
      <c r="D45" s="13">
        <v>3963</v>
      </c>
      <c r="E45" s="13">
        <v>3963</v>
      </c>
      <c r="F45" s="13">
        <v>3963</v>
      </c>
      <c r="G45" s="14" t="s">
        <v>142</v>
      </c>
    </row>
    <row r="46" spans="1:7">
      <c r="A46" s="5" t="s">
        <v>143</v>
      </c>
      <c r="B46" s="8" t="s">
        <v>22</v>
      </c>
      <c r="C46" s="12" t="s">
        <v>91</v>
      </c>
      <c r="D46" s="17">
        <v>46447</v>
      </c>
      <c r="E46" s="17">
        <v>46447</v>
      </c>
      <c r="F46" s="17">
        <v>46447</v>
      </c>
      <c r="G46" s="14" t="s">
        <v>144</v>
      </c>
    </row>
    <row r="47" spans="1:7">
      <c r="A47" s="5" t="s">
        <v>145</v>
      </c>
      <c r="B47" s="8" t="s">
        <v>22</v>
      </c>
      <c r="C47" s="12" t="s">
        <v>49</v>
      </c>
      <c r="D47" s="13">
        <v>5000</v>
      </c>
      <c r="E47" s="13">
        <v>5000</v>
      </c>
      <c r="F47" s="13">
        <v>5000</v>
      </c>
      <c r="G47" s="14" t="s">
        <v>146</v>
      </c>
    </row>
    <row r="48" spans="1:7">
      <c r="A48" s="5" t="s">
        <v>147</v>
      </c>
      <c r="B48" s="8" t="s">
        <v>22</v>
      </c>
      <c r="C48" s="12" t="s">
        <v>148</v>
      </c>
      <c r="D48" s="13">
        <v>2400</v>
      </c>
      <c r="E48" s="13">
        <v>2400</v>
      </c>
      <c r="F48" s="13">
        <v>2400</v>
      </c>
      <c r="G48" s="14" t="s">
        <v>149</v>
      </c>
    </row>
    <row r="49" spans="1:7">
      <c r="A49" s="5" t="s">
        <v>150</v>
      </c>
      <c r="B49" s="8" t="s">
        <v>22</v>
      </c>
      <c r="C49" s="12" t="s">
        <v>49</v>
      </c>
      <c r="D49" s="13">
        <v>150</v>
      </c>
      <c r="E49" s="13">
        <v>150</v>
      </c>
      <c r="F49" s="13">
        <v>150</v>
      </c>
      <c r="G49" s="14" t="s">
        <v>151</v>
      </c>
    </row>
    <row r="50" spans="1:7">
      <c r="A50" s="5" t="s">
        <v>152</v>
      </c>
      <c r="B50" s="8" t="s">
        <v>24</v>
      </c>
      <c r="C50" s="12" t="s">
        <v>153</v>
      </c>
      <c r="D50" s="16">
        <v>0.35</v>
      </c>
      <c r="E50" s="16">
        <v>0.35</v>
      </c>
      <c r="F50" s="16">
        <v>0.35</v>
      </c>
      <c r="G50" s="14" t="s">
        <v>154</v>
      </c>
    </row>
    <row r="51" spans="1:7">
      <c r="A51" s="5" t="s">
        <v>155</v>
      </c>
      <c r="B51" s="8" t="s">
        <v>24</v>
      </c>
      <c r="C51" s="12" t="s">
        <v>153</v>
      </c>
      <c r="D51" s="16">
        <v>0.5</v>
      </c>
      <c r="E51" s="16">
        <v>0.5</v>
      </c>
      <c r="F51" s="16">
        <v>0.5</v>
      </c>
      <c r="G51" s="14" t="s">
        <v>156</v>
      </c>
    </row>
    <row r="52" spans="1:7">
      <c r="A52" s="5" t="s">
        <v>157</v>
      </c>
      <c r="B52" s="8" t="s">
        <v>24</v>
      </c>
      <c r="C52" s="12" t="s">
        <v>153</v>
      </c>
      <c r="D52" s="16">
        <v>0.65</v>
      </c>
      <c r="E52" s="16">
        <v>0.65</v>
      </c>
      <c r="F52" s="16">
        <v>0.65</v>
      </c>
      <c r="G52" s="14" t="s">
        <v>156</v>
      </c>
    </row>
    <row r="53" spans="1:7">
      <c r="A53" s="5" t="s">
        <v>158</v>
      </c>
      <c r="B53" s="8" t="s">
        <v>24</v>
      </c>
      <c r="C53" s="12" t="s">
        <v>153</v>
      </c>
      <c r="D53" s="16">
        <v>0.8</v>
      </c>
      <c r="E53" s="16">
        <v>0.8</v>
      </c>
      <c r="F53" s="16">
        <v>0.8</v>
      </c>
      <c r="G53" s="14" t="s">
        <v>156</v>
      </c>
    </row>
    <row r="54" spans="1:7">
      <c r="A54" s="5" t="s">
        <v>159</v>
      </c>
      <c r="B54" s="8" t="s">
        <v>24</v>
      </c>
      <c r="C54" s="12" t="s">
        <v>153</v>
      </c>
      <c r="D54" s="16">
        <v>0.9</v>
      </c>
      <c r="E54" s="16">
        <v>0.9</v>
      </c>
      <c r="F54" s="16">
        <v>0.9</v>
      </c>
      <c r="G54" s="14" t="s">
        <v>156</v>
      </c>
    </row>
    <row r="55" spans="1:7">
      <c r="A55" s="5" t="s">
        <v>160</v>
      </c>
      <c r="B55" s="8" t="s">
        <v>24</v>
      </c>
      <c r="C55" s="12" t="s">
        <v>153</v>
      </c>
      <c r="D55" s="16">
        <v>1</v>
      </c>
      <c r="E55" s="16">
        <v>1</v>
      </c>
      <c r="F55" s="16">
        <v>1</v>
      </c>
      <c r="G55" s="14" t="s">
        <v>161</v>
      </c>
    </row>
    <row r="56" spans="1:7">
      <c r="A56" s="5" t="s">
        <v>162</v>
      </c>
      <c r="B56" s="8" t="s">
        <v>24</v>
      </c>
      <c r="C56" s="12" t="s">
        <v>163</v>
      </c>
      <c r="D56" s="16">
        <v>0.03</v>
      </c>
      <c r="E56" s="16">
        <v>0.03</v>
      </c>
      <c r="F56" s="16">
        <v>0.03</v>
      </c>
      <c r="G56" s="14" t="s">
        <v>164</v>
      </c>
    </row>
    <row r="57" spans="1:7">
      <c r="A57" s="5" t="s">
        <v>165</v>
      </c>
      <c r="B57" s="8" t="s">
        <v>22</v>
      </c>
      <c r="C57" s="12" t="s">
        <v>91</v>
      </c>
      <c r="D57" s="17">
        <v>46296</v>
      </c>
      <c r="E57" s="17">
        <v>46296</v>
      </c>
      <c r="F57" s="17">
        <v>46296</v>
      </c>
      <c r="G57" s="14" t="s">
        <v>166</v>
      </c>
    </row>
    <row r="58" spans="1:7">
      <c r="A58" s="5" t="s">
        <v>167</v>
      </c>
      <c r="B58" s="8" t="s">
        <v>22</v>
      </c>
      <c r="C58" s="12" t="s">
        <v>91</v>
      </c>
      <c r="D58" s="17">
        <v>46357</v>
      </c>
      <c r="E58" s="17">
        <v>46357</v>
      </c>
      <c r="F58" s="17">
        <v>46357</v>
      </c>
      <c r="G58" s="14" t="s">
        <v>168</v>
      </c>
    </row>
    <row r="59" spans="1:7">
      <c r="A59" s="5" t="s">
        <v>169</v>
      </c>
      <c r="B59" s="8" t="s">
        <v>22</v>
      </c>
      <c r="C59" s="12" t="s">
        <v>91</v>
      </c>
      <c r="D59" s="17">
        <v>46388</v>
      </c>
      <c r="E59" s="17">
        <v>46388</v>
      </c>
      <c r="F59" s="17">
        <v>46388</v>
      </c>
      <c r="G59" s="14" t="s">
        <v>170</v>
      </c>
    </row>
  </sheetData>
  <autoFilter ref="A7:G59"/>
  <mergeCells count="4">
    <mergeCell ref="A1:G1"/>
    <mergeCell ref="A2:G2"/>
    <mergeCell ref="C4:G4"/>
    <mergeCell ref="A5:G5"/>
  </mergeCells>
  <dataValidations count="1">
    <dataValidation type="list" allowBlank="1" showInputMessage="1" showErrorMessage="1" errorTitle="Invalid scenario" error="Choose a listed scenario." promptTitle="Scenario" prompt="Select Downside, Base, or Upside." sqref="B4">
      <formula1>"Downside,Base,Upside"</formula1>
    </dataValidation>
  </dataValidations>
  <pageMargins left="0.7" right="0.7" top="0.75" bottom="0.75" header="0.3" footer="0.3"/>
  <pageSetup fitToHeight="3" orientation="landscape"/>
  <headerFooter>
    <oddHeader>&amp;LLocal Effort Cooperative&amp;C608 Smith Avenue Pro Forma&amp;R&amp;D</oddHeader>
    <oddFooter>&amp;LInternal planning model&amp;CPage &amp;P of &amp;N&amp;RUpdated 2026-10-01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A7F78"/>
    <pageSetUpPr fitToPage="1"/>
  </sheetPr>
  <dimension ref="A1:K1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36.7109375" customWidth="1"/>
    <col min="2" max="11" width="13.7109375" customWidth="1"/>
  </cols>
  <sheetData>
    <row r="1" spans="1:11" ht="30" customHeight="1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172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11" t="s">
        <v>173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5" spans="1:11">
      <c r="A5" s="4" t="s">
        <v>174</v>
      </c>
      <c r="B5" s="18">
        <v>46023</v>
      </c>
      <c r="C5" s="18">
        <v>46054</v>
      </c>
      <c r="D5" s="18">
        <v>46082</v>
      </c>
      <c r="E5" s="18">
        <v>46113</v>
      </c>
      <c r="F5" s="18">
        <v>46143</v>
      </c>
      <c r="G5" s="18">
        <v>46174</v>
      </c>
      <c r="H5" s="18">
        <v>46204</v>
      </c>
      <c r="I5" s="18">
        <v>46235</v>
      </c>
      <c r="J5" s="18">
        <v>46266</v>
      </c>
      <c r="K5" s="4" t="s">
        <v>175</v>
      </c>
    </row>
    <row r="6" spans="1:11">
      <c r="A6" s="19" t="s">
        <v>176</v>
      </c>
      <c r="B6" s="20">
        <v>10914.69</v>
      </c>
      <c r="C6" s="20">
        <v>7379.86</v>
      </c>
      <c r="D6" s="20">
        <v>6946.7</v>
      </c>
      <c r="E6" s="20">
        <v>11396.43</v>
      </c>
      <c r="F6" s="20">
        <v>15096.45</v>
      </c>
      <c r="G6" s="20">
        <v>10443.78</v>
      </c>
      <c r="H6" s="20">
        <v>17334.09</v>
      </c>
      <c r="I6" s="20">
        <v>11466.46</v>
      </c>
      <c r="J6" s="20">
        <v>10812.43</v>
      </c>
      <c r="K6" s="20">
        <f>SUM(B6:J6)</f>
        <v>101790.88999999998</v>
      </c>
    </row>
    <row r="7" spans="1:11">
      <c r="A7" s="5" t="s">
        <v>177</v>
      </c>
      <c r="B7" s="21">
        <v>1815.23</v>
      </c>
      <c r="C7" s="21">
        <v>3486.39</v>
      </c>
      <c r="D7" s="21">
        <v>2630.47</v>
      </c>
      <c r="E7" s="21">
        <v>3784.26</v>
      </c>
      <c r="F7" s="21">
        <v>3526.97</v>
      </c>
      <c r="G7" s="21">
        <v>3325.58</v>
      </c>
      <c r="H7" s="21">
        <v>4312.22</v>
      </c>
      <c r="I7" s="21">
        <v>4126.8</v>
      </c>
      <c r="J7" s="21">
        <v>3326.67</v>
      </c>
      <c r="K7" s="21">
        <f>SUM(B7:J7)</f>
        <v>30334.590000000004</v>
      </c>
    </row>
    <row r="8" spans="1:11">
      <c r="A8" s="5" t="s">
        <v>178</v>
      </c>
      <c r="B8" s="21">
        <v>0</v>
      </c>
      <c r="C8" s="21">
        <v>40</v>
      </c>
      <c r="D8" s="21">
        <v>0</v>
      </c>
      <c r="E8" s="21">
        <v>0</v>
      </c>
      <c r="F8" s="21">
        <v>560</v>
      </c>
      <c r="G8" s="21">
        <v>2566</v>
      </c>
      <c r="H8" s="21">
        <v>1279</v>
      </c>
      <c r="I8" s="21">
        <v>1642</v>
      </c>
      <c r="J8" s="21">
        <v>190</v>
      </c>
      <c r="K8" s="21">
        <f>SUM(B8:J8)</f>
        <v>6277.0</v>
      </c>
    </row>
    <row r="9" spans="1:11">
      <c r="A9" s="5" t="s">
        <v>179</v>
      </c>
      <c r="B9" s="21">
        <v>6350</v>
      </c>
      <c r="C9" s="21">
        <v>1538</v>
      </c>
      <c r="D9" s="21">
        <v>1889</v>
      </c>
      <c r="E9" s="21">
        <v>2180</v>
      </c>
      <c r="F9" s="21">
        <v>1463.33</v>
      </c>
      <c r="G9" s="21">
        <v>1525</v>
      </c>
      <c r="H9" s="21">
        <v>3849.5</v>
      </c>
      <c r="I9" s="21">
        <v>1133.83</v>
      </c>
      <c r="J9" s="21">
        <v>1179.02</v>
      </c>
      <c r="K9" s="21">
        <f>SUM(B9:J9)</f>
        <v>21107.680000000004</v>
      </c>
    </row>
    <row r="10" spans="1:11">
      <c r="A10" s="5" t="s">
        <v>180</v>
      </c>
      <c r="B10" s="21">
        <v>1137.27</v>
      </c>
      <c r="C10" s="21">
        <v>977.2</v>
      </c>
      <c r="D10" s="21">
        <v>1913.49</v>
      </c>
      <c r="E10" s="21">
        <v>1723.46</v>
      </c>
      <c r="F10" s="21">
        <v>1579.02</v>
      </c>
      <c r="G10" s="21">
        <v>2756.47</v>
      </c>
      <c r="H10" s="21">
        <v>1740.49</v>
      </c>
      <c r="I10" s="21">
        <v>1571.59</v>
      </c>
      <c r="J10" s="21">
        <v>787.2</v>
      </c>
      <c r="K10" s="21">
        <f>SUM(B10:J10)</f>
        <v>14186.19</v>
      </c>
    </row>
    <row r="11" spans="1:11">
      <c r="A11" s="5" t="s">
        <v>181</v>
      </c>
      <c r="B11" s="21">
        <v>1089.73</v>
      </c>
      <c r="C11" s="21">
        <v>1201.3</v>
      </c>
      <c r="D11" s="21">
        <v>3677.76</v>
      </c>
      <c r="E11" s="21">
        <v>3862.46</v>
      </c>
      <c r="F11" s="21">
        <v>6572.45</v>
      </c>
      <c r="G11" s="21">
        <v>3297.57</v>
      </c>
      <c r="H11" s="21">
        <v>1432.52</v>
      </c>
      <c r="I11" s="21">
        <v>1837.94</v>
      </c>
      <c r="J11" s="21">
        <v>2020.71</v>
      </c>
      <c r="K11" s="21">
        <f>SUM(B11:J11)</f>
        <v>24992.44</v>
      </c>
    </row>
    <row r="12" spans="1:11">
      <c r="A12" s="5" t="s">
        <v>182</v>
      </c>
      <c r="B12" s="21">
        <v>30.46</v>
      </c>
      <c r="C12" s="21">
        <v>30.46</v>
      </c>
      <c r="D12" s="21">
        <v>144.02</v>
      </c>
      <c r="E12" s="21">
        <v>226.98</v>
      </c>
      <c r="F12" s="21">
        <v>568.26</v>
      </c>
      <c r="G12" s="21">
        <v>126.03</v>
      </c>
      <c r="H12" s="21">
        <v>293.93</v>
      </c>
      <c r="I12" s="21">
        <v>553.98</v>
      </c>
      <c r="J12" s="21">
        <v>393.55</v>
      </c>
      <c r="K12" s="21">
        <f>SUM(B12:J12)</f>
        <v>2367.67</v>
      </c>
    </row>
    <row r="13" spans="1:11">
      <c r="A13" s="19" t="s">
        <v>183</v>
      </c>
      <c r="B13" s="20">
        <v>431.43</v>
      </c>
      <c r="C13" s="20">
        <v>876.96</v>
      </c>
      <c r="D13" s="20">
        <v>2335.04</v>
      </c>
      <c r="E13" s="20">
        <v>3291.77</v>
      </c>
      <c r="F13" s="20">
        <v>1063.48</v>
      </c>
      <c r="G13" s="20">
        <v>-974.88</v>
      </c>
      <c r="H13" s="20">
        <v>3225.39</v>
      </c>
      <c r="I13" s="20">
        <v>2428.11</v>
      </c>
      <c r="J13" s="20">
        <v>2103.5</v>
      </c>
      <c r="K13" s="20">
        <f>SUM(B13:J13)</f>
        <v>14780.800000000001</v>
      </c>
    </row>
    <row r="16" spans="1:11">
      <c r="A16" s="3" t="s">
        <v>184</v>
      </c>
      <c r="B16" s="3" t="s">
        <v>185</v>
      </c>
      <c r="C16" s="3"/>
      <c r="D16" s="3"/>
      <c r="E16" s="3"/>
      <c r="F16" s="3"/>
      <c r="G16" s="3"/>
      <c r="H16" s="3"/>
      <c r="I16" s="3"/>
      <c r="J16" s="3"/>
      <c r="K16" s="3"/>
    </row>
    <row r="17" spans="1:2">
      <c r="A17" s="5" t="s">
        <v>186</v>
      </c>
      <c r="B17" s="21">
        <v>13030.64</v>
      </c>
    </row>
    <row r="18" spans="1:2">
      <c r="A18" s="5" t="s">
        <v>187</v>
      </c>
      <c r="B18" s="21">
        <v>1247.4</v>
      </c>
    </row>
    <row r="19" spans="1:2">
      <c r="A19" s="5" t="s">
        <v>188</v>
      </c>
      <c r="B19" s="21">
        <v>1686.95</v>
      </c>
    </row>
  </sheetData>
  <autoFilter ref="A5:K13"/>
  <mergeCells count="4">
    <mergeCell ref="A1:K1"/>
    <mergeCell ref="A2:K2"/>
    <mergeCell ref="A3:K3"/>
    <mergeCell ref="B16:K16"/>
  </mergeCells>
  <conditionalFormatting sqref="B13:K13">
    <cfRule type="cellIs" dxfId="0" priority="1" operator="greaterThanOrEqual">
      <formula>0</formula>
    </cfRule>
    <cfRule type="cellIs" dxfId="1" priority="2" operator="lessThan">
      <formula>0</formula>
    </cfRule>
  </conditionalFormatting>
  <pageMargins left="0.7" right="0.7" top="0.75" bottom="0.75" header="0.3" footer="0.3"/>
  <pageSetup orientation="landscape"/>
  <headerFooter>
    <oddHeader>&amp;LLocal Effort Cooperative&amp;C608 Smith Avenue Pro Forma&amp;R&amp;D</oddHeader>
    <oddFooter>&amp;LInternal planning model&amp;CPage &amp;P of &amp;N&amp;RUpdated 2026-10-01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A7F78"/>
    <pageSetUpPr fitToPage="1"/>
  </sheetPr>
  <dimension ref="A1:AV4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34.7109375" customWidth="1"/>
    <col min="2" max="2" width="14.7109375" customWidth="1"/>
    <col min="3" max="3" width="32.7109375" customWidth="1"/>
    <col min="4" max="47" width="12.7109375" customWidth="1"/>
  </cols>
  <sheetData>
    <row r="1" spans="1:48" ht="30" customHeight="1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8">
      <c r="A2" s="2" t="s">
        <v>190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8">
      <c r="A3" s="11" t="s">
        <v>191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</row>
    <row r="5" spans="1:48">
      <c r="A5" s="4" t="s">
        <v>192</v>
      </c>
      <c r="B5" s="4" t="s">
        <v>44</v>
      </c>
      <c r="C5" s="4" t="s">
        <v>193</v>
      </c>
      <c r="D5" s="18">
        <v>46296</v>
      </c>
      <c r="E5" s="18">
        <v>46327</v>
      </c>
      <c r="F5" s="18">
        <v>46357</v>
      </c>
      <c r="G5" s="18">
        <v>46388</v>
      </c>
      <c r="H5" s="18">
        <v>46419</v>
      </c>
      <c r="I5" s="18">
        <v>46447</v>
      </c>
      <c r="J5" s="18">
        <v>46478</v>
      </c>
      <c r="K5" s="18">
        <v>46508</v>
      </c>
      <c r="L5" s="18">
        <v>46539</v>
      </c>
      <c r="M5" s="18">
        <v>46569</v>
      </c>
      <c r="N5" s="18">
        <v>46600</v>
      </c>
      <c r="O5" s="18">
        <v>46631</v>
      </c>
      <c r="P5" s="18">
        <v>46661</v>
      </c>
      <c r="Q5" s="18">
        <v>46692</v>
      </c>
      <c r="R5" s="18">
        <v>46722</v>
      </c>
      <c r="S5" s="18">
        <v>46753</v>
      </c>
      <c r="T5" s="18">
        <v>46784</v>
      </c>
      <c r="U5" s="18">
        <v>46813</v>
      </c>
      <c r="V5" s="18">
        <v>46844</v>
      </c>
      <c r="W5" s="18">
        <v>46874</v>
      </c>
      <c r="X5" s="18">
        <v>46905</v>
      </c>
      <c r="Y5" s="18">
        <v>46935</v>
      </c>
      <c r="Z5" s="18">
        <v>46966</v>
      </c>
      <c r="AA5" s="18">
        <v>46997</v>
      </c>
      <c r="AB5" s="18">
        <v>47027</v>
      </c>
      <c r="AC5" s="18">
        <v>47058</v>
      </c>
      <c r="AD5" s="18">
        <v>47088</v>
      </c>
      <c r="AE5" s="18">
        <v>47119</v>
      </c>
      <c r="AF5" s="18">
        <v>47150</v>
      </c>
      <c r="AG5" s="18">
        <v>47178</v>
      </c>
      <c r="AH5" s="18">
        <v>47209</v>
      </c>
      <c r="AI5" s="18">
        <v>47239</v>
      </c>
      <c r="AJ5" s="18">
        <v>47270</v>
      </c>
      <c r="AK5" s="18">
        <v>47300</v>
      </c>
      <c r="AL5" s="18">
        <v>47331</v>
      </c>
      <c r="AM5" s="18">
        <v>47362</v>
      </c>
      <c r="AN5" s="18">
        <v>47392</v>
      </c>
      <c r="AO5" s="18">
        <v>47423</v>
      </c>
      <c r="AP5" s="18">
        <v>47453</v>
      </c>
      <c r="AQ5" s="18">
        <v>47484</v>
      </c>
      <c r="AR5" s="18">
        <v>47515</v>
      </c>
      <c r="AS5" s="18">
        <v>47543</v>
      </c>
      <c r="AT5" s="18">
        <v>47574</v>
      </c>
      <c r="AU5" s="18">
        <v>47604</v>
      </c>
    </row>
    <row r="6" spans="1:48">
      <c r="A6" s="3" t="s">
        <v>194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>
      <c r="A7" s="5" t="s">
        <v>198</v>
      </c>
      <c r="B7" s="12" t="s">
        <v>49</v>
      </c>
      <c r="C7" s="14" t="s">
        <v>199</v>
      </c>
      <c r="D7" s="21">
        <f>'Inputs'!$D$18*POWER(1+'Inputs'!$D$19,0)</f>
        <v>4334.42</v>
      </c>
      <c r="E7" s="21">
        <f>'Inputs'!$D$18*POWER(1+'Inputs'!$D$19,1)</f>
        <v>4334.42</v>
      </c>
      <c r="F7" s="21">
        <f>'Inputs'!$D$18*POWER(1+'Inputs'!$D$19,2)</f>
        <v>4334.42</v>
      </c>
      <c r="G7" s="21">
        <f>'Inputs'!$D$18*POWER(1+'Inputs'!$D$19,3)</f>
        <v>4334.42</v>
      </c>
      <c r="H7" s="21">
        <f>'Inputs'!$D$18*POWER(1+'Inputs'!$D$19,4)</f>
        <v>4334.42</v>
      </c>
      <c r="I7" s="21">
        <f>'Inputs'!$D$18*POWER(1+'Inputs'!$D$19,5)</f>
        <v>4334.42</v>
      </c>
      <c r="J7" s="21">
        <f>'Inputs'!$D$18*POWER(1+'Inputs'!$D$19,6)</f>
        <v>4334.42</v>
      </c>
      <c r="K7" s="21">
        <f>'Inputs'!$D$18*POWER(1+'Inputs'!$D$19,7)</f>
        <v>4334.42</v>
      </c>
      <c r="L7" s="21">
        <f>'Inputs'!$D$18*POWER(1+'Inputs'!$D$19,8)</f>
        <v>4334.42</v>
      </c>
      <c r="M7" s="21">
        <f>'Inputs'!$D$18*POWER(1+'Inputs'!$D$19,9)</f>
        <v>4334.42</v>
      </c>
      <c r="N7" s="21">
        <f>'Inputs'!$D$18*POWER(1+'Inputs'!$D$19,10)</f>
        <v>4334.42</v>
      </c>
      <c r="O7" s="21">
        <f>'Inputs'!$D$18*POWER(1+'Inputs'!$D$19,11)</f>
        <v>4334.42</v>
      </c>
      <c r="P7" s="21">
        <f>'Inputs'!$D$18*POWER(1+'Inputs'!$D$19,12)</f>
        <v>4334.42</v>
      </c>
      <c r="Q7" s="21">
        <f>'Inputs'!$D$18*POWER(1+'Inputs'!$D$19,13)</f>
        <v>4334.42</v>
      </c>
      <c r="R7" s="21">
        <f>'Inputs'!$D$18*POWER(1+'Inputs'!$D$19,14)</f>
        <v>4334.42</v>
      </c>
      <c r="S7" s="21">
        <f>'Inputs'!$D$18*POWER(1+'Inputs'!$D$19,15)</f>
        <v>4334.42</v>
      </c>
      <c r="T7" s="21">
        <f>'Inputs'!$D$18*POWER(1+'Inputs'!$D$19,16)</f>
        <v>4334.42</v>
      </c>
      <c r="U7" s="21">
        <f>'Inputs'!$D$18*POWER(1+'Inputs'!$D$19,17)</f>
        <v>4334.42</v>
      </c>
      <c r="V7" s="21">
        <f>'Inputs'!$D$18*POWER(1+'Inputs'!$D$19,18)</f>
        <v>4334.42</v>
      </c>
      <c r="W7" s="21">
        <f>'Inputs'!$D$18*POWER(1+'Inputs'!$D$19,19)</f>
        <v>4334.42</v>
      </c>
      <c r="X7" s="21">
        <f>'Inputs'!$D$18*POWER(1+'Inputs'!$D$19,20)</f>
        <v>4334.42</v>
      </c>
      <c r="Y7" s="21">
        <f>'Inputs'!$D$18*POWER(1+'Inputs'!$D$19,21)</f>
        <v>4334.42</v>
      </c>
      <c r="Z7" s="21">
        <f>'Inputs'!$D$18*POWER(1+'Inputs'!$D$19,22)</f>
        <v>4334.42</v>
      </c>
      <c r="AA7" s="21">
        <f>'Inputs'!$D$18*POWER(1+'Inputs'!$D$19,23)</f>
        <v>4334.42</v>
      </c>
      <c r="AB7" s="21">
        <f>'Inputs'!$D$18*POWER(1+'Inputs'!$D$19,24)</f>
        <v>4334.42</v>
      </c>
      <c r="AC7" s="21">
        <f>'Inputs'!$D$18*POWER(1+'Inputs'!$D$19,25)</f>
        <v>4334.42</v>
      </c>
      <c r="AD7" s="21">
        <f>'Inputs'!$D$18*POWER(1+'Inputs'!$D$19,26)</f>
        <v>4334.42</v>
      </c>
      <c r="AE7" s="21">
        <f>'Inputs'!$D$18*POWER(1+'Inputs'!$D$19,27)</f>
        <v>4334.42</v>
      </c>
      <c r="AF7" s="21">
        <f>'Inputs'!$D$18*POWER(1+'Inputs'!$D$19,28)</f>
        <v>4334.42</v>
      </c>
      <c r="AG7" s="21">
        <f>'Inputs'!$D$18*POWER(1+'Inputs'!$D$19,29)</f>
        <v>4334.42</v>
      </c>
      <c r="AH7" s="21">
        <f>'Inputs'!$D$18*POWER(1+'Inputs'!$D$19,30)</f>
        <v>4334.42</v>
      </c>
      <c r="AI7" s="21">
        <f>'Inputs'!$D$18*POWER(1+'Inputs'!$D$19,31)</f>
        <v>4334.42</v>
      </c>
      <c r="AJ7" s="21">
        <f>'Inputs'!$D$18*POWER(1+'Inputs'!$D$19,32)</f>
        <v>4334.42</v>
      </c>
      <c r="AK7" s="21">
        <f>'Inputs'!$D$18*POWER(1+'Inputs'!$D$19,33)</f>
        <v>4334.42</v>
      </c>
      <c r="AL7" s="21">
        <f>'Inputs'!$D$18*POWER(1+'Inputs'!$D$19,34)</f>
        <v>4334.42</v>
      </c>
      <c r="AM7" s="21">
        <f>'Inputs'!$D$18*POWER(1+'Inputs'!$D$19,35)</f>
        <v>4334.42</v>
      </c>
      <c r="AN7" s="21">
        <f>'Inputs'!$D$18*POWER(1+'Inputs'!$D$19,36)</f>
        <v>4334.42</v>
      </c>
      <c r="AO7" s="21">
        <f>'Inputs'!$D$18*POWER(1+'Inputs'!$D$19,37)</f>
        <v>4334.42</v>
      </c>
      <c r="AP7" s="21">
        <f>'Inputs'!$D$18*POWER(1+'Inputs'!$D$19,38)</f>
        <v>4334.42</v>
      </c>
      <c r="AQ7" s="21">
        <f>'Inputs'!$D$18*POWER(1+'Inputs'!$D$19,39)</f>
        <v>4334.42</v>
      </c>
      <c r="AR7" s="21">
        <f>'Inputs'!$D$18*POWER(1+'Inputs'!$D$19,40)</f>
        <v>4334.42</v>
      </c>
      <c r="AS7" s="21">
        <f>'Inputs'!$D$18*POWER(1+'Inputs'!$D$19,41)</f>
        <v>4334.42</v>
      </c>
      <c r="AT7" s="21">
        <f>'Inputs'!$D$18*POWER(1+'Inputs'!$D$19,42)</f>
        <v>4334.42</v>
      </c>
      <c r="AU7" s="21">
        <f>'Inputs'!$D$18*POWER(1+'Inputs'!$D$19,43)</f>
        <v>4334.42</v>
      </c>
    </row>
    <row r="8" spans="1:48">
      <c r="A8" s="5" t="s">
        <v>200</v>
      </c>
      <c r="B8" s="12" t="s">
        <v>49</v>
      </c>
      <c r="C8" s="14" t="s">
        <v>201</v>
      </c>
      <c r="D8" s="21">
        <f>'Inputs'!$D$20*POWER(1+'Inputs'!$D$22,0)*'Inputs'!$D$21</f>
        <v>810.0</v>
      </c>
      <c r="E8" s="21">
        <f>'Inputs'!$D$20*POWER(1+'Inputs'!$D$22,1)*'Inputs'!$D$21</f>
        <v>810.0</v>
      </c>
      <c r="F8" s="21">
        <f>'Inputs'!$D$20*POWER(1+'Inputs'!$D$22,2)*'Inputs'!$D$21</f>
        <v>810.0</v>
      </c>
      <c r="G8" s="21">
        <f>'Inputs'!$D$20*POWER(1+'Inputs'!$D$22,3)*'Inputs'!$D$21</f>
        <v>810.0</v>
      </c>
      <c r="H8" s="21">
        <f>'Inputs'!$D$20*POWER(1+'Inputs'!$D$22,4)*'Inputs'!$D$21</f>
        <v>810.0</v>
      </c>
      <c r="I8" s="21">
        <f>'Inputs'!$D$20*POWER(1+'Inputs'!$D$22,5)*'Inputs'!$D$21</f>
        <v>810.0</v>
      </c>
      <c r="J8" s="21">
        <f>'Inputs'!$D$20*POWER(1+'Inputs'!$D$22,6)*'Inputs'!$D$21</f>
        <v>810.0</v>
      </c>
      <c r="K8" s="21">
        <f>'Inputs'!$D$20*POWER(1+'Inputs'!$D$22,7)*'Inputs'!$D$21</f>
        <v>810.0</v>
      </c>
      <c r="L8" s="21">
        <f>'Inputs'!$D$20*POWER(1+'Inputs'!$D$22,8)*'Inputs'!$D$21</f>
        <v>810.0</v>
      </c>
      <c r="M8" s="21">
        <f>'Inputs'!$D$20*POWER(1+'Inputs'!$D$22,9)*'Inputs'!$D$21</f>
        <v>810.0</v>
      </c>
      <c r="N8" s="21">
        <f>'Inputs'!$D$20*POWER(1+'Inputs'!$D$22,10)*'Inputs'!$D$21</f>
        <v>810.0</v>
      </c>
      <c r="O8" s="21">
        <f>'Inputs'!$D$20*POWER(1+'Inputs'!$D$22,11)*'Inputs'!$D$21</f>
        <v>810.0</v>
      </c>
      <c r="P8" s="21">
        <f>'Inputs'!$D$20*POWER(1+'Inputs'!$D$22,12)*'Inputs'!$D$21</f>
        <v>810.0</v>
      </c>
      <c r="Q8" s="21">
        <f>'Inputs'!$D$20*POWER(1+'Inputs'!$D$22,13)*'Inputs'!$D$21</f>
        <v>810.0</v>
      </c>
      <c r="R8" s="21">
        <f>'Inputs'!$D$20*POWER(1+'Inputs'!$D$22,14)*'Inputs'!$D$21</f>
        <v>810.0</v>
      </c>
      <c r="S8" s="21">
        <f>'Inputs'!$D$20*POWER(1+'Inputs'!$D$22,15)*'Inputs'!$D$21</f>
        <v>810.0</v>
      </c>
      <c r="T8" s="21">
        <f>'Inputs'!$D$20*POWER(1+'Inputs'!$D$22,16)*'Inputs'!$D$21</f>
        <v>810.0</v>
      </c>
      <c r="U8" s="21">
        <f>'Inputs'!$D$20*POWER(1+'Inputs'!$D$22,17)*'Inputs'!$D$21</f>
        <v>810.0</v>
      </c>
      <c r="V8" s="21">
        <f>'Inputs'!$D$20*POWER(1+'Inputs'!$D$22,18)*'Inputs'!$D$21</f>
        <v>810.0</v>
      </c>
      <c r="W8" s="21">
        <f>'Inputs'!$D$20*POWER(1+'Inputs'!$D$22,19)*'Inputs'!$D$21</f>
        <v>810.0</v>
      </c>
      <c r="X8" s="21">
        <f>'Inputs'!$D$20*POWER(1+'Inputs'!$D$22,20)*'Inputs'!$D$21</f>
        <v>810.0</v>
      </c>
      <c r="Y8" s="21">
        <f>'Inputs'!$D$20*POWER(1+'Inputs'!$D$22,21)*'Inputs'!$D$21</f>
        <v>810.0</v>
      </c>
      <c r="Z8" s="21">
        <f>'Inputs'!$D$20*POWER(1+'Inputs'!$D$22,22)*'Inputs'!$D$21</f>
        <v>810.0</v>
      </c>
      <c r="AA8" s="21">
        <f>'Inputs'!$D$20*POWER(1+'Inputs'!$D$22,23)*'Inputs'!$D$21</f>
        <v>810.0</v>
      </c>
      <c r="AB8" s="21">
        <f>'Inputs'!$D$20*POWER(1+'Inputs'!$D$22,24)*'Inputs'!$D$21</f>
        <v>810.0</v>
      </c>
      <c r="AC8" s="21">
        <f>'Inputs'!$D$20*POWER(1+'Inputs'!$D$22,25)*'Inputs'!$D$21</f>
        <v>810.0</v>
      </c>
      <c r="AD8" s="21">
        <f>'Inputs'!$D$20*POWER(1+'Inputs'!$D$22,26)*'Inputs'!$D$21</f>
        <v>810.0</v>
      </c>
      <c r="AE8" s="21">
        <f>'Inputs'!$D$20*POWER(1+'Inputs'!$D$22,27)*'Inputs'!$D$21</f>
        <v>810.0</v>
      </c>
      <c r="AF8" s="21">
        <f>'Inputs'!$D$20*POWER(1+'Inputs'!$D$22,28)*'Inputs'!$D$21</f>
        <v>810.0</v>
      </c>
      <c r="AG8" s="21">
        <f>'Inputs'!$D$20*POWER(1+'Inputs'!$D$22,29)*'Inputs'!$D$21</f>
        <v>810.0</v>
      </c>
      <c r="AH8" s="21">
        <f>'Inputs'!$D$20*POWER(1+'Inputs'!$D$22,30)*'Inputs'!$D$21</f>
        <v>810.0</v>
      </c>
      <c r="AI8" s="21">
        <f>'Inputs'!$D$20*POWER(1+'Inputs'!$D$22,31)*'Inputs'!$D$21</f>
        <v>810.0</v>
      </c>
      <c r="AJ8" s="21">
        <f>'Inputs'!$D$20*POWER(1+'Inputs'!$D$22,32)*'Inputs'!$D$21</f>
        <v>810.0</v>
      </c>
      <c r="AK8" s="21">
        <f>'Inputs'!$D$20*POWER(1+'Inputs'!$D$22,33)*'Inputs'!$D$21</f>
        <v>810.0</v>
      </c>
      <c r="AL8" s="21">
        <f>'Inputs'!$D$20*POWER(1+'Inputs'!$D$22,34)*'Inputs'!$D$21</f>
        <v>810.0</v>
      </c>
      <c r="AM8" s="21">
        <f>'Inputs'!$D$20*POWER(1+'Inputs'!$D$22,35)*'Inputs'!$D$21</f>
        <v>810.0</v>
      </c>
      <c r="AN8" s="21">
        <f>'Inputs'!$D$20*POWER(1+'Inputs'!$D$22,36)*'Inputs'!$D$21</f>
        <v>810.0</v>
      </c>
      <c r="AO8" s="21">
        <f>'Inputs'!$D$20*POWER(1+'Inputs'!$D$22,37)*'Inputs'!$D$21</f>
        <v>810.0</v>
      </c>
      <c r="AP8" s="21">
        <f>'Inputs'!$D$20*POWER(1+'Inputs'!$D$22,38)*'Inputs'!$D$21</f>
        <v>810.0</v>
      </c>
      <c r="AQ8" s="21">
        <f>'Inputs'!$D$20*POWER(1+'Inputs'!$D$22,39)*'Inputs'!$D$21</f>
        <v>810.0</v>
      </c>
      <c r="AR8" s="21">
        <f>'Inputs'!$D$20*POWER(1+'Inputs'!$D$22,40)*'Inputs'!$D$21</f>
        <v>810.0</v>
      </c>
      <c r="AS8" s="21">
        <f>'Inputs'!$D$20*POWER(1+'Inputs'!$D$22,41)*'Inputs'!$D$21</f>
        <v>810.0</v>
      </c>
      <c r="AT8" s="21">
        <f>'Inputs'!$D$20*POWER(1+'Inputs'!$D$22,42)*'Inputs'!$D$21</f>
        <v>810.0</v>
      </c>
      <c r="AU8" s="21">
        <f>'Inputs'!$D$20*POWER(1+'Inputs'!$D$22,43)*'Inputs'!$D$21</f>
        <v>810.0</v>
      </c>
    </row>
    <row r="9" spans="1:48">
      <c r="A9" s="5" t="s">
        <v>202</v>
      </c>
      <c r="B9" s="12" t="s">
        <v>49</v>
      </c>
      <c r="C9" s="14" t="s">
        <v>203</v>
      </c>
      <c r="D9" s="21">
        <f>MAX(0,D36-D7-D8)*(IF(D$5&lt;'Inputs'!$D$23,0,CHOOSE(MIN(7,MAX(1,(YEAR(D$5)-YEAR('Inputs'!$D$23))*12+MONTH(D$5)-MONTH('Inputs'!$D$23)+1)),'Inputs'!$D$50,'Inputs'!$D$51,'Inputs'!$D$52,'Inputs'!$D$53,'Inputs'!$D$54,'Inputs'!$D$55,'Inputs'!$D$55)))</f>
        <v>0.0</v>
      </c>
      <c r="E9" s="21">
        <f>MAX(0,E36-E7-E8)*(IF(E$5&lt;'Inputs'!$D$23,0,CHOOSE(MIN(7,MAX(1,(YEAR(E$5)-YEAR('Inputs'!$D$23))*12+MONTH(E$5)-MONTH('Inputs'!$D$23)+1)),'Inputs'!$D$50,'Inputs'!$D$51,'Inputs'!$D$52,'Inputs'!$D$53,'Inputs'!$D$54,'Inputs'!$D$55,'Inputs'!$D$55)))</f>
        <v>0.0</v>
      </c>
      <c r="F9" s="21">
        <f>MAX(0,F36-F7-F8)*(IF(F$5&lt;'Inputs'!$D$23,0,CHOOSE(MIN(7,MAX(1,(YEAR(F$5)-YEAR('Inputs'!$D$23))*12+MONTH(F$5)-MONTH('Inputs'!$D$23)+1)),'Inputs'!$D$50,'Inputs'!$D$51,'Inputs'!$D$52,'Inputs'!$D$53,'Inputs'!$D$54,'Inputs'!$D$55,'Inputs'!$D$55)))</f>
        <v>0.0</v>
      </c>
      <c r="G9" s="21">
        <f>MAX(0,G36-G7-G8)*(IF(G$5&lt;'Inputs'!$D$23,0,CHOOSE(MIN(7,MAX(1,(YEAR(G$5)-YEAR('Inputs'!$D$23))*12+MONTH(G$5)-MONTH('Inputs'!$D$23)+1)),'Inputs'!$D$50,'Inputs'!$D$51,'Inputs'!$D$52,'Inputs'!$D$53,'Inputs'!$D$54,'Inputs'!$D$55,'Inputs'!$D$55)))</f>
        <v>0.0</v>
      </c>
      <c r="H9" s="21">
        <f>MAX(0,H36-H7-H8)*(IF(H$5&lt;'Inputs'!$D$23,0,CHOOSE(MIN(7,MAX(1,(YEAR(H$5)-YEAR('Inputs'!$D$23))*12+MONTH(H$5)-MONTH('Inputs'!$D$23)+1)),'Inputs'!$D$50,'Inputs'!$D$51,'Inputs'!$D$52,'Inputs'!$D$53,'Inputs'!$D$54,'Inputs'!$D$55,'Inputs'!$D$55)))</f>
        <v>0.0</v>
      </c>
      <c r="I9" s="21">
        <f>MAX(0,I36-I7-I8)*(IF(I$5&lt;'Inputs'!$D$23,0,CHOOSE(MIN(7,MAX(1,(YEAR(I$5)-YEAR('Inputs'!$D$23))*12+MONTH(I$5)-MONTH('Inputs'!$D$23)+1)),'Inputs'!$D$50,'Inputs'!$D$51,'Inputs'!$D$52,'Inputs'!$D$53,'Inputs'!$D$54,'Inputs'!$D$55,'Inputs'!$D$55)))</f>
        <v>0.0</v>
      </c>
      <c r="J9" s="21">
        <f>MAX(0,J36-J7-J8)*(IF(J$5&lt;'Inputs'!$D$23,0,CHOOSE(MIN(7,MAX(1,(YEAR(J$5)-YEAR('Inputs'!$D$23))*12+MONTH(J$5)-MONTH('Inputs'!$D$23)+1)),'Inputs'!$D$50,'Inputs'!$D$51,'Inputs'!$D$52,'Inputs'!$D$53,'Inputs'!$D$54,'Inputs'!$D$55,'Inputs'!$D$55)))</f>
        <v>0.0</v>
      </c>
      <c r="K9" s="21">
        <f>MAX(0,K36-K7-K8)*(IF(K$5&lt;'Inputs'!$D$23,0,CHOOSE(MIN(7,MAX(1,(YEAR(K$5)-YEAR('Inputs'!$D$23))*12+MONTH(K$5)-MONTH('Inputs'!$D$23)+1)),'Inputs'!$D$50,'Inputs'!$D$51,'Inputs'!$D$52,'Inputs'!$D$53,'Inputs'!$D$54,'Inputs'!$D$55,'Inputs'!$D$55)))</f>
        <v>0.0</v>
      </c>
      <c r="L9" s="21">
        <f>MAX(0,L36-L7-L8)*(IF(L$5&lt;'Inputs'!$D$23,0,CHOOSE(MIN(7,MAX(1,(YEAR(L$5)-YEAR('Inputs'!$D$23))*12+MONTH(L$5)-MONTH('Inputs'!$D$23)+1)),'Inputs'!$D$50,'Inputs'!$D$51,'Inputs'!$D$52,'Inputs'!$D$53,'Inputs'!$D$54,'Inputs'!$D$55,'Inputs'!$D$55)))</f>
        <v>14999.453</v>
      </c>
      <c r="M9" s="21">
        <f>MAX(0,M36-M7-M8)*(IF(M$5&lt;'Inputs'!$D$23,0,CHOOSE(MIN(7,MAX(1,(YEAR(M$5)-YEAR('Inputs'!$D$23))*12+MONTH(M$5)-MONTH('Inputs'!$D$23)+1)),'Inputs'!$D$50,'Inputs'!$D$51,'Inputs'!$D$52,'Inputs'!$D$53,'Inputs'!$D$54,'Inputs'!$D$55,'Inputs'!$D$55)))</f>
        <v>21427.79</v>
      </c>
      <c r="N9" s="21">
        <f>MAX(0,N36-N7-N8)*(IF(N$5&lt;'Inputs'!$D$23,0,CHOOSE(MIN(7,MAX(1,(YEAR(N$5)-YEAR('Inputs'!$D$23))*12+MONTH(N$5)-MONTH('Inputs'!$D$23)+1)),'Inputs'!$D$50,'Inputs'!$D$51,'Inputs'!$D$52,'Inputs'!$D$53,'Inputs'!$D$54,'Inputs'!$D$55,'Inputs'!$D$55)))</f>
        <v>27856.127</v>
      </c>
      <c r="O9" s="21">
        <f>MAX(0,O36-O7-O8)*(IF(O$5&lt;'Inputs'!$D$23,0,CHOOSE(MIN(7,MAX(1,(YEAR(O$5)-YEAR('Inputs'!$D$23))*12+MONTH(O$5)-MONTH('Inputs'!$D$23)+1)),'Inputs'!$D$50,'Inputs'!$D$51,'Inputs'!$D$52,'Inputs'!$D$53,'Inputs'!$D$54,'Inputs'!$D$55,'Inputs'!$D$55)))</f>
        <v>34284.464</v>
      </c>
      <c r="P9" s="21">
        <f>MAX(0,P36-P7-P8)*(IF(P$5&lt;'Inputs'!$D$23,0,CHOOSE(MIN(7,MAX(1,(YEAR(P$5)-YEAR('Inputs'!$D$23))*12+MONTH(P$5)-MONTH('Inputs'!$D$23)+1)),'Inputs'!$D$50,'Inputs'!$D$51,'Inputs'!$D$52,'Inputs'!$D$53,'Inputs'!$D$54,'Inputs'!$D$55,'Inputs'!$D$55)))</f>
        <v>38570.022000000004</v>
      </c>
      <c r="Q9" s="21">
        <f>MAX(0,Q36-Q7-Q8)*(IF(Q$5&lt;'Inputs'!$D$23,0,CHOOSE(MIN(7,MAX(1,(YEAR(Q$5)-YEAR('Inputs'!$D$23))*12+MONTH(Q$5)-MONTH('Inputs'!$D$23)+1)),'Inputs'!$D$50,'Inputs'!$D$51,'Inputs'!$D$52,'Inputs'!$D$53,'Inputs'!$D$54,'Inputs'!$D$55,'Inputs'!$D$55)))</f>
        <v>42855.58</v>
      </c>
      <c r="R9" s="21">
        <f>MAX(0,R36-R7-R8)*(IF(R$5&lt;'Inputs'!$D$23,0,CHOOSE(MIN(7,MAX(1,(YEAR(R$5)-YEAR('Inputs'!$D$23))*12+MONTH(R$5)-MONTH('Inputs'!$D$23)+1)),'Inputs'!$D$50,'Inputs'!$D$51,'Inputs'!$D$52,'Inputs'!$D$53,'Inputs'!$D$54,'Inputs'!$D$55,'Inputs'!$D$55)))</f>
        <v>42855.58</v>
      </c>
      <c r="S9" s="21">
        <f>MAX(0,S36-S7-S8)*(IF(S$5&lt;'Inputs'!$D$23,0,CHOOSE(MIN(7,MAX(1,(YEAR(S$5)-YEAR('Inputs'!$D$23))*12+MONTH(S$5)-MONTH('Inputs'!$D$23)+1)),'Inputs'!$D$50,'Inputs'!$D$51,'Inputs'!$D$52,'Inputs'!$D$53,'Inputs'!$D$54,'Inputs'!$D$55,'Inputs'!$D$55)))</f>
        <v>48485.58</v>
      </c>
      <c r="T9" s="21">
        <f>MAX(0,T36-T7-T8)*(IF(T$5&lt;'Inputs'!$D$23,0,CHOOSE(MIN(7,MAX(1,(YEAR(T$5)-YEAR('Inputs'!$D$23))*12+MONTH(T$5)-MONTH('Inputs'!$D$23)+1)),'Inputs'!$D$50,'Inputs'!$D$51,'Inputs'!$D$52,'Inputs'!$D$53,'Inputs'!$D$54,'Inputs'!$D$55,'Inputs'!$D$55)))</f>
        <v>48485.58</v>
      </c>
      <c r="U9" s="21">
        <f>MAX(0,U36-U7-U8)*(IF(U$5&lt;'Inputs'!$D$23,0,CHOOSE(MIN(7,MAX(1,(YEAR(U$5)-YEAR('Inputs'!$D$23))*12+MONTH(U$5)-MONTH('Inputs'!$D$23)+1)),'Inputs'!$D$50,'Inputs'!$D$51,'Inputs'!$D$52,'Inputs'!$D$53,'Inputs'!$D$54,'Inputs'!$D$55,'Inputs'!$D$55)))</f>
        <v>48485.58</v>
      </c>
      <c r="V9" s="21">
        <f>MAX(0,V36-V7-V8)*(IF(V$5&lt;'Inputs'!$D$23,0,CHOOSE(MIN(7,MAX(1,(YEAR(V$5)-YEAR('Inputs'!$D$23))*12+MONTH(V$5)-MONTH('Inputs'!$D$23)+1)),'Inputs'!$D$50,'Inputs'!$D$51,'Inputs'!$D$52,'Inputs'!$D$53,'Inputs'!$D$54,'Inputs'!$D$55,'Inputs'!$D$55)))</f>
        <v>48485.58</v>
      </c>
      <c r="W9" s="21">
        <f>MAX(0,W36-W7-W8)*(IF(W$5&lt;'Inputs'!$D$23,0,CHOOSE(MIN(7,MAX(1,(YEAR(W$5)-YEAR('Inputs'!$D$23))*12+MONTH(W$5)-MONTH('Inputs'!$D$23)+1)),'Inputs'!$D$50,'Inputs'!$D$51,'Inputs'!$D$52,'Inputs'!$D$53,'Inputs'!$D$54,'Inputs'!$D$55,'Inputs'!$D$55)))</f>
        <v>48485.58</v>
      </c>
      <c r="X9" s="21">
        <f>MAX(0,X36-X7-X8)*(IF(X$5&lt;'Inputs'!$D$23,0,CHOOSE(MIN(7,MAX(1,(YEAR(X$5)-YEAR('Inputs'!$D$23))*12+MONTH(X$5)-MONTH('Inputs'!$D$23)+1)),'Inputs'!$D$50,'Inputs'!$D$51,'Inputs'!$D$52,'Inputs'!$D$53,'Inputs'!$D$54,'Inputs'!$D$55,'Inputs'!$D$55)))</f>
        <v>48485.58</v>
      </c>
      <c r="Y9" s="21">
        <f>MAX(0,Y36-Y7-Y8)*(IF(Y$5&lt;'Inputs'!$D$23,0,CHOOSE(MIN(7,MAX(1,(YEAR(Y$5)-YEAR('Inputs'!$D$23))*12+MONTH(Y$5)-MONTH('Inputs'!$D$23)+1)),'Inputs'!$D$50,'Inputs'!$D$51,'Inputs'!$D$52,'Inputs'!$D$53,'Inputs'!$D$54,'Inputs'!$D$55,'Inputs'!$D$55)))</f>
        <v>48485.58</v>
      </c>
      <c r="Z9" s="21">
        <f>MAX(0,Z36-Z7-Z8)*(IF(Z$5&lt;'Inputs'!$D$23,0,CHOOSE(MIN(7,MAX(1,(YEAR(Z$5)-YEAR('Inputs'!$D$23))*12+MONTH(Z$5)-MONTH('Inputs'!$D$23)+1)),'Inputs'!$D$50,'Inputs'!$D$51,'Inputs'!$D$52,'Inputs'!$D$53,'Inputs'!$D$54,'Inputs'!$D$55,'Inputs'!$D$55)))</f>
        <v>48485.58</v>
      </c>
      <c r="AA9" s="21">
        <f>MAX(0,AA36-AA7-AA8)*(IF(AA$5&lt;'Inputs'!$D$23,0,CHOOSE(MIN(7,MAX(1,(YEAR(AA$5)-YEAR('Inputs'!$D$23))*12+MONTH(AA$5)-MONTH('Inputs'!$D$23)+1)),'Inputs'!$D$50,'Inputs'!$D$51,'Inputs'!$D$52,'Inputs'!$D$53,'Inputs'!$D$54,'Inputs'!$D$55,'Inputs'!$D$55)))</f>
        <v>48485.58</v>
      </c>
      <c r="AB9" s="21">
        <f>MAX(0,AB36-AB7-AB8)*(IF(AB$5&lt;'Inputs'!$D$23,0,CHOOSE(MIN(7,MAX(1,(YEAR(AB$5)-YEAR('Inputs'!$D$23))*12+MONTH(AB$5)-MONTH('Inputs'!$D$23)+1)),'Inputs'!$D$50,'Inputs'!$D$51,'Inputs'!$D$52,'Inputs'!$D$53,'Inputs'!$D$54,'Inputs'!$D$55,'Inputs'!$D$55)))</f>
        <v>48485.58</v>
      </c>
      <c r="AC9" s="21">
        <f>MAX(0,AC36-AC7-AC8)*(IF(AC$5&lt;'Inputs'!$D$23,0,CHOOSE(MIN(7,MAX(1,(YEAR(AC$5)-YEAR('Inputs'!$D$23))*12+MONTH(AC$5)-MONTH('Inputs'!$D$23)+1)),'Inputs'!$D$50,'Inputs'!$D$51,'Inputs'!$D$52,'Inputs'!$D$53,'Inputs'!$D$54,'Inputs'!$D$55,'Inputs'!$D$55)))</f>
        <v>48485.58</v>
      </c>
      <c r="AD9" s="21">
        <f>MAX(0,AD36-AD7-AD8)*(IF(AD$5&lt;'Inputs'!$D$23,0,CHOOSE(MIN(7,MAX(1,(YEAR(AD$5)-YEAR('Inputs'!$D$23))*12+MONTH(AD$5)-MONTH('Inputs'!$D$23)+1)),'Inputs'!$D$50,'Inputs'!$D$51,'Inputs'!$D$52,'Inputs'!$D$53,'Inputs'!$D$54,'Inputs'!$D$55,'Inputs'!$D$55)))</f>
        <v>48485.58</v>
      </c>
      <c r="AE9" s="21">
        <f>MAX(0,AE36-AE7-AE8)*(IF(AE$5&lt;'Inputs'!$D$23,0,CHOOSE(MIN(7,MAX(1,(YEAR(AE$5)-YEAR('Inputs'!$D$23))*12+MONTH(AE$5)-MONTH('Inputs'!$D$23)+1)),'Inputs'!$D$50,'Inputs'!$D$51,'Inputs'!$D$52,'Inputs'!$D$53,'Inputs'!$D$54,'Inputs'!$D$55,'Inputs'!$D$55)))</f>
        <v>48485.58</v>
      </c>
      <c r="AF9" s="21">
        <f>MAX(0,AF36-AF7-AF8)*(IF(AF$5&lt;'Inputs'!$D$23,0,CHOOSE(MIN(7,MAX(1,(YEAR(AF$5)-YEAR('Inputs'!$D$23))*12+MONTH(AF$5)-MONTH('Inputs'!$D$23)+1)),'Inputs'!$D$50,'Inputs'!$D$51,'Inputs'!$D$52,'Inputs'!$D$53,'Inputs'!$D$54,'Inputs'!$D$55,'Inputs'!$D$55)))</f>
        <v>48485.58</v>
      </c>
      <c r="AG9" s="21">
        <f>MAX(0,AG36-AG7-AG8)*(IF(AG$5&lt;'Inputs'!$D$23,0,CHOOSE(MIN(7,MAX(1,(YEAR(AG$5)-YEAR('Inputs'!$D$23))*12+MONTH(AG$5)-MONTH('Inputs'!$D$23)+1)),'Inputs'!$D$50,'Inputs'!$D$51,'Inputs'!$D$52,'Inputs'!$D$53,'Inputs'!$D$54,'Inputs'!$D$55,'Inputs'!$D$55)))</f>
        <v>48485.58</v>
      </c>
      <c r="AH9" s="21">
        <f>MAX(0,AH36-AH7-AH8)*(IF(AH$5&lt;'Inputs'!$D$23,0,CHOOSE(MIN(7,MAX(1,(YEAR(AH$5)-YEAR('Inputs'!$D$23))*12+MONTH(AH$5)-MONTH('Inputs'!$D$23)+1)),'Inputs'!$D$50,'Inputs'!$D$51,'Inputs'!$D$52,'Inputs'!$D$53,'Inputs'!$D$54,'Inputs'!$D$55,'Inputs'!$D$55)))</f>
        <v>48485.58</v>
      </c>
      <c r="AI9" s="21">
        <f>MAX(0,AI36-AI7-AI8)*(IF(AI$5&lt;'Inputs'!$D$23,0,CHOOSE(MIN(7,MAX(1,(YEAR(AI$5)-YEAR('Inputs'!$D$23))*12+MONTH(AI$5)-MONTH('Inputs'!$D$23)+1)),'Inputs'!$D$50,'Inputs'!$D$51,'Inputs'!$D$52,'Inputs'!$D$53,'Inputs'!$D$54,'Inputs'!$D$55,'Inputs'!$D$55)))</f>
        <v>48485.58</v>
      </c>
      <c r="AJ9" s="21">
        <f>MAX(0,AJ36-AJ7-AJ8)*(IF(AJ$5&lt;'Inputs'!$D$23,0,CHOOSE(MIN(7,MAX(1,(YEAR(AJ$5)-YEAR('Inputs'!$D$23))*12+MONTH(AJ$5)-MONTH('Inputs'!$D$23)+1)),'Inputs'!$D$50,'Inputs'!$D$51,'Inputs'!$D$52,'Inputs'!$D$53,'Inputs'!$D$54,'Inputs'!$D$55,'Inputs'!$D$55)))</f>
        <v>48485.58</v>
      </c>
      <c r="AK9" s="21">
        <f>MAX(0,AK36-AK7-AK8)*(IF(AK$5&lt;'Inputs'!$D$23,0,CHOOSE(MIN(7,MAX(1,(YEAR(AK$5)-YEAR('Inputs'!$D$23))*12+MONTH(AK$5)-MONTH('Inputs'!$D$23)+1)),'Inputs'!$D$50,'Inputs'!$D$51,'Inputs'!$D$52,'Inputs'!$D$53,'Inputs'!$D$54,'Inputs'!$D$55,'Inputs'!$D$55)))</f>
        <v>48485.58</v>
      </c>
      <c r="AL9" s="21">
        <f>MAX(0,AL36-AL7-AL8)*(IF(AL$5&lt;'Inputs'!$D$23,0,CHOOSE(MIN(7,MAX(1,(YEAR(AL$5)-YEAR('Inputs'!$D$23))*12+MONTH(AL$5)-MONTH('Inputs'!$D$23)+1)),'Inputs'!$D$50,'Inputs'!$D$51,'Inputs'!$D$52,'Inputs'!$D$53,'Inputs'!$D$54,'Inputs'!$D$55,'Inputs'!$D$55)))</f>
        <v>48485.58</v>
      </c>
      <c r="AM9" s="21">
        <f>MAX(0,AM36-AM7-AM8)*(IF(AM$5&lt;'Inputs'!$D$23,0,CHOOSE(MIN(7,MAX(1,(YEAR(AM$5)-YEAR('Inputs'!$D$23))*12+MONTH(AM$5)-MONTH('Inputs'!$D$23)+1)),'Inputs'!$D$50,'Inputs'!$D$51,'Inputs'!$D$52,'Inputs'!$D$53,'Inputs'!$D$54,'Inputs'!$D$55,'Inputs'!$D$55)))</f>
        <v>48485.58</v>
      </c>
      <c r="AN9" s="21">
        <f>MAX(0,AN36-AN7-AN8)*(IF(AN$5&lt;'Inputs'!$D$23,0,CHOOSE(MIN(7,MAX(1,(YEAR(AN$5)-YEAR('Inputs'!$D$23))*12+MONTH(AN$5)-MONTH('Inputs'!$D$23)+1)),'Inputs'!$D$50,'Inputs'!$D$51,'Inputs'!$D$52,'Inputs'!$D$53,'Inputs'!$D$54,'Inputs'!$D$55,'Inputs'!$D$55)))</f>
        <v>48485.58</v>
      </c>
      <c r="AO9" s="21">
        <f>MAX(0,AO36-AO7-AO8)*(IF(AO$5&lt;'Inputs'!$D$23,0,CHOOSE(MIN(7,MAX(1,(YEAR(AO$5)-YEAR('Inputs'!$D$23))*12+MONTH(AO$5)-MONTH('Inputs'!$D$23)+1)),'Inputs'!$D$50,'Inputs'!$D$51,'Inputs'!$D$52,'Inputs'!$D$53,'Inputs'!$D$54,'Inputs'!$D$55,'Inputs'!$D$55)))</f>
        <v>48485.58</v>
      </c>
      <c r="AP9" s="21">
        <f>MAX(0,AP36-AP7-AP8)*(IF(AP$5&lt;'Inputs'!$D$23,0,CHOOSE(MIN(7,MAX(1,(YEAR(AP$5)-YEAR('Inputs'!$D$23))*12+MONTH(AP$5)-MONTH('Inputs'!$D$23)+1)),'Inputs'!$D$50,'Inputs'!$D$51,'Inputs'!$D$52,'Inputs'!$D$53,'Inputs'!$D$54,'Inputs'!$D$55,'Inputs'!$D$55)))</f>
        <v>48485.58</v>
      </c>
      <c r="AQ9" s="21">
        <f>MAX(0,AQ36-AQ7-AQ8)*(IF(AQ$5&lt;'Inputs'!$D$23,0,CHOOSE(MIN(7,MAX(1,(YEAR(AQ$5)-YEAR('Inputs'!$D$23))*12+MONTH(AQ$5)-MONTH('Inputs'!$D$23)+1)),'Inputs'!$D$50,'Inputs'!$D$51,'Inputs'!$D$52,'Inputs'!$D$53,'Inputs'!$D$54,'Inputs'!$D$55,'Inputs'!$D$55)))</f>
        <v>48485.58</v>
      </c>
      <c r="AR9" s="21">
        <f>MAX(0,AR36-AR7-AR8)*(IF(AR$5&lt;'Inputs'!$D$23,0,CHOOSE(MIN(7,MAX(1,(YEAR(AR$5)-YEAR('Inputs'!$D$23))*12+MONTH(AR$5)-MONTH('Inputs'!$D$23)+1)),'Inputs'!$D$50,'Inputs'!$D$51,'Inputs'!$D$52,'Inputs'!$D$53,'Inputs'!$D$54,'Inputs'!$D$55,'Inputs'!$D$55)))</f>
        <v>48485.58</v>
      </c>
      <c r="AS9" s="21">
        <f>MAX(0,AS36-AS7-AS8)*(IF(AS$5&lt;'Inputs'!$D$23,0,CHOOSE(MIN(7,MAX(1,(YEAR(AS$5)-YEAR('Inputs'!$D$23))*12+MONTH(AS$5)-MONTH('Inputs'!$D$23)+1)),'Inputs'!$D$50,'Inputs'!$D$51,'Inputs'!$D$52,'Inputs'!$D$53,'Inputs'!$D$54,'Inputs'!$D$55,'Inputs'!$D$55)))</f>
        <v>48485.58</v>
      </c>
      <c r="AT9" s="21">
        <f>MAX(0,AT36-AT7-AT8)*(IF(AT$5&lt;'Inputs'!$D$23,0,CHOOSE(MIN(7,MAX(1,(YEAR(AT$5)-YEAR('Inputs'!$D$23))*12+MONTH(AT$5)-MONTH('Inputs'!$D$23)+1)),'Inputs'!$D$50,'Inputs'!$D$51,'Inputs'!$D$52,'Inputs'!$D$53,'Inputs'!$D$54,'Inputs'!$D$55,'Inputs'!$D$55)))</f>
        <v>48485.58</v>
      </c>
      <c r="AU9" s="21">
        <f>MAX(0,AU36-AU7-AU8)*(IF(AU$5&lt;'Inputs'!$D$23,0,CHOOSE(MIN(7,MAX(1,(YEAR(AU$5)-YEAR('Inputs'!$D$23))*12+MONTH(AU$5)-MONTH('Inputs'!$D$23)+1)),'Inputs'!$D$50,'Inputs'!$D$51,'Inputs'!$D$52,'Inputs'!$D$53,'Inputs'!$D$54,'Inputs'!$D$55,'Inputs'!$D$55)))</f>
        <v>48485.58</v>
      </c>
    </row>
    <row r="10" spans="1:48">
      <c r="A10" s="19" t="s">
        <v>204</v>
      </c>
      <c r="B10" s="12" t="s">
        <v>49</v>
      </c>
      <c r="C10" s="14" t="s">
        <v>205</v>
      </c>
      <c r="D10" s="20">
        <f>SUM(D7:D9)</f>
        <v>5144.42</v>
      </c>
      <c r="E10" s="20">
        <f>SUM(E7:E9)</f>
        <v>5144.42</v>
      </c>
      <c r="F10" s="20">
        <f>SUM(F7:F9)</f>
        <v>5144.42</v>
      </c>
      <c r="G10" s="20">
        <f>SUM(G7:G9)</f>
        <v>5144.42</v>
      </c>
      <c r="H10" s="20">
        <f>SUM(H7:H9)</f>
        <v>5144.42</v>
      </c>
      <c r="I10" s="20">
        <f>SUM(I7:I9)</f>
        <v>5144.42</v>
      </c>
      <c r="J10" s="20">
        <f>SUM(J7:J9)</f>
        <v>5144.42</v>
      </c>
      <c r="K10" s="20">
        <f>SUM(K7:K9)</f>
        <v>5144.42</v>
      </c>
      <c r="L10" s="20">
        <f>SUM(L7:L9)</f>
        <v>20143.873</v>
      </c>
      <c r="M10" s="20">
        <f>SUM(M7:M9)</f>
        <v>26572.21</v>
      </c>
      <c r="N10" s="20">
        <f>SUM(N7:N9)</f>
        <v>33000.547</v>
      </c>
      <c r="O10" s="20">
        <f>SUM(O7:O9)</f>
        <v>39428.884</v>
      </c>
      <c r="P10" s="20">
        <f>SUM(P7:P9)</f>
        <v>43714.442</v>
      </c>
      <c r="Q10" s="20">
        <f>SUM(Q7:Q9)</f>
        <v>48000.0</v>
      </c>
      <c r="R10" s="20">
        <f>SUM(R7:R9)</f>
        <v>48000.0</v>
      </c>
      <c r="S10" s="20">
        <f>SUM(S7:S9)</f>
        <v>53630.0</v>
      </c>
      <c r="T10" s="20">
        <f>SUM(T7:T9)</f>
        <v>53630.0</v>
      </c>
      <c r="U10" s="20">
        <f>SUM(U7:U9)</f>
        <v>53630.0</v>
      </c>
      <c r="V10" s="20">
        <f>SUM(V7:V9)</f>
        <v>53630.0</v>
      </c>
      <c r="W10" s="20">
        <f>SUM(W7:W9)</f>
        <v>53630.0</v>
      </c>
      <c r="X10" s="20">
        <f>SUM(X7:X9)</f>
        <v>53630.0</v>
      </c>
      <c r="Y10" s="20">
        <f>SUM(Y7:Y9)</f>
        <v>53630.0</v>
      </c>
      <c r="Z10" s="20">
        <f>SUM(Z7:Z9)</f>
        <v>53630.0</v>
      </c>
      <c r="AA10" s="20">
        <f>SUM(AA7:AA9)</f>
        <v>53630.0</v>
      </c>
      <c r="AB10" s="20">
        <f>SUM(AB7:AB9)</f>
        <v>53630.0</v>
      </c>
      <c r="AC10" s="20">
        <f>SUM(AC7:AC9)</f>
        <v>53630.0</v>
      </c>
      <c r="AD10" s="20">
        <f>SUM(AD7:AD9)</f>
        <v>53630.0</v>
      </c>
      <c r="AE10" s="20">
        <f>SUM(AE7:AE9)</f>
        <v>53630.0</v>
      </c>
      <c r="AF10" s="20">
        <f>SUM(AF7:AF9)</f>
        <v>53630.0</v>
      </c>
      <c r="AG10" s="20">
        <f>SUM(AG7:AG9)</f>
        <v>53630.0</v>
      </c>
      <c r="AH10" s="20">
        <f>SUM(AH7:AH9)</f>
        <v>53630.0</v>
      </c>
      <c r="AI10" s="20">
        <f>SUM(AI7:AI9)</f>
        <v>53630.0</v>
      </c>
      <c r="AJ10" s="20">
        <f>SUM(AJ7:AJ9)</f>
        <v>53630.0</v>
      </c>
      <c r="AK10" s="20">
        <f>SUM(AK7:AK9)</f>
        <v>53630.0</v>
      </c>
      <c r="AL10" s="20">
        <f>SUM(AL7:AL9)</f>
        <v>53630.0</v>
      </c>
      <c r="AM10" s="20">
        <f>SUM(AM7:AM9)</f>
        <v>53630.0</v>
      </c>
      <c r="AN10" s="20">
        <f>SUM(AN7:AN9)</f>
        <v>53630.0</v>
      </c>
      <c r="AO10" s="20">
        <f>SUM(AO7:AO9)</f>
        <v>53630.0</v>
      </c>
      <c r="AP10" s="20">
        <f>SUM(AP7:AP9)</f>
        <v>53630.0</v>
      </c>
      <c r="AQ10" s="20">
        <f>SUM(AQ7:AQ9)</f>
        <v>53630.0</v>
      </c>
      <c r="AR10" s="20">
        <f>SUM(AR7:AR9)</f>
        <v>53630.0</v>
      </c>
      <c r="AS10" s="20">
        <f>SUM(AS7:AS9)</f>
        <v>53630.0</v>
      </c>
      <c r="AT10" s="20">
        <f>SUM(AT7:AT9)</f>
        <v>53630.0</v>
      </c>
      <c r="AU10" s="20">
        <f>SUM(AU7:AU9)</f>
        <v>53630.0</v>
      </c>
    </row>
    <row r="11" spans="1:48">
      <c r="A11" s="5" t="s">
        <v>206</v>
      </c>
      <c r="B11" s="12" t="s">
        <v>49</v>
      </c>
      <c r="C11" s="14" t="s">
        <v>207</v>
      </c>
      <c r="D11" s="21">
        <f>'Inputs'!$D$11*'Inputs'!$D$48*(IF(D$5&lt;'Inputs'!$D$57,0,IF(D$5&lt;='Inputs'!$D$58,'Inputs'!$D$10,IF(D$5&gt;='Inputs'!$D$59,'Inputs'!$D$9,0))))</f>
        <v>1800.0</v>
      </c>
      <c r="E11" s="21">
        <f>'Inputs'!$D$11*'Inputs'!$D$48*(IF(E$5&lt;'Inputs'!$D$57,0,IF(E$5&lt;='Inputs'!$D$58,'Inputs'!$D$10,IF(E$5&gt;='Inputs'!$D$59,'Inputs'!$D$9,0))))</f>
        <v>1800.0</v>
      </c>
      <c r="F11" s="21">
        <f>'Inputs'!$D$11*'Inputs'!$D$48*(IF(F$5&lt;'Inputs'!$D$57,0,IF(F$5&lt;='Inputs'!$D$58,'Inputs'!$D$10,IF(F$5&gt;='Inputs'!$D$59,'Inputs'!$D$9,0))))</f>
        <v>1800.0</v>
      </c>
      <c r="G11" s="21">
        <f>'Inputs'!$D$11*'Inputs'!$D$48*(IF(G$5&lt;'Inputs'!$D$57,0,IF(G$5&lt;='Inputs'!$D$58,'Inputs'!$D$10,IF(G$5&gt;='Inputs'!$D$59,'Inputs'!$D$9,0))))</f>
        <v>0.0</v>
      </c>
      <c r="H11" s="21">
        <f>'Inputs'!$D$11*'Inputs'!$D$48*(IF(H$5&lt;'Inputs'!$D$57,0,IF(H$5&lt;='Inputs'!$D$58,'Inputs'!$D$10,IF(H$5&gt;='Inputs'!$D$59,'Inputs'!$D$9,0))))</f>
        <v>0.0</v>
      </c>
      <c r="I11" s="21">
        <f>'Inputs'!$D$11*'Inputs'!$D$48*(IF(I$5&lt;'Inputs'!$D$57,0,IF(I$5&lt;='Inputs'!$D$58,'Inputs'!$D$10,IF(I$5&gt;='Inputs'!$D$59,'Inputs'!$D$9,0))))</f>
        <v>0.0</v>
      </c>
      <c r="J11" s="21">
        <f>'Inputs'!$D$11*'Inputs'!$D$48*(IF(J$5&lt;'Inputs'!$D$57,0,IF(J$5&lt;='Inputs'!$D$58,'Inputs'!$D$10,IF(J$5&gt;='Inputs'!$D$59,'Inputs'!$D$9,0))))</f>
        <v>0.0</v>
      </c>
      <c r="K11" s="21">
        <f>'Inputs'!$D$11*'Inputs'!$D$48*(IF(K$5&lt;'Inputs'!$D$57,0,IF(K$5&lt;='Inputs'!$D$58,'Inputs'!$D$10,IF(K$5&gt;='Inputs'!$D$59,'Inputs'!$D$9,0))))</f>
        <v>0.0</v>
      </c>
      <c r="L11" s="21">
        <f>'Inputs'!$D$11*'Inputs'!$D$48*(IF(L$5&lt;'Inputs'!$D$57,0,IF(L$5&lt;='Inputs'!$D$58,'Inputs'!$D$10,IF(L$5&gt;='Inputs'!$D$59,'Inputs'!$D$9,0))))</f>
        <v>0.0</v>
      </c>
      <c r="M11" s="21">
        <f>'Inputs'!$D$11*'Inputs'!$D$48*(IF(M$5&lt;'Inputs'!$D$57,0,IF(M$5&lt;='Inputs'!$D$58,'Inputs'!$D$10,IF(M$5&gt;='Inputs'!$D$59,'Inputs'!$D$9,0))))</f>
        <v>0.0</v>
      </c>
      <c r="N11" s="21">
        <f>'Inputs'!$D$11*'Inputs'!$D$48*(IF(N$5&lt;'Inputs'!$D$57,0,IF(N$5&lt;='Inputs'!$D$58,'Inputs'!$D$10,IF(N$5&gt;='Inputs'!$D$59,'Inputs'!$D$9,0))))</f>
        <v>0.0</v>
      </c>
      <c r="O11" s="21">
        <f>'Inputs'!$D$11*'Inputs'!$D$48*(IF(O$5&lt;'Inputs'!$D$57,0,IF(O$5&lt;='Inputs'!$D$58,'Inputs'!$D$10,IF(O$5&gt;='Inputs'!$D$59,'Inputs'!$D$9,0))))</f>
        <v>0.0</v>
      </c>
      <c r="P11" s="21">
        <f>'Inputs'!$D$11*'Inputs'!$D$48*(IF(P$5&lt;'Inputs'!$D$57,0,IF(P$5&lt;='Inputs'!$D$58,'Inputs'!$D$10,IF(P$5&gt;='Inputs'!$D$59,'Inputs'!$D$9,0))))</f>
        <v>0.0</v>
      </c>
      <c r="Q11" s="21">
        <f>'Inputs'!$D$11*'Inputs'!$D$48*(IF(Q$5&lt;'Inputs'!$D$57,0,IF(Q$5&lt;='Inputs'!$D$58,'Inputs'!$D$10,IF(Q$5&gt;='Inputs'!$D$59,'Inputs'!$D$9,0))))</f>
        <v>0.0</v>
      </c>
      <c r="R11" s="21">
        <f>'Inputs'!$D$11*'Inputs'!$D$48*(IF(R$5&lt;'Inputs'!$D$57,0,IF(R$5&lt;='Inputs'!$D$58,'Inputs'!$D$10,IF(R$5&gt;='Inputs'!$D$59,'Inputs'!$D$9,0))))</f>
        <v>0.0</v>
      </c>
      <c r="S11" s="21">
        <f>'Inputs'!$D$11*'Inputs'!$D$48*(IF(S$5&lt;'Inputs'!$D$57,0,IF(S$5&lt;='Inputs'!$D$58,'Inputs'!$D$10,IF(S$5&gt;='Inputs'!$D$59,'Inputs'!$D$9,0))))</f>
        <v>0.0</v>
      </c>
      <c r="T11" s="21">
        <f>'Inputs'!$D$11*'Inputs'!$D$48*(IF(T$5&lt;'Inputs'!$D$57,0,IF(T$5&lt;='Inputs'!$D$58,'Inputs'!$D$10,IF(T$5&gt;='Inputs'!$D$59,'Inputs'!$D$9,0))))</f>
        <v>0.0</v>
      </c>
      <c r="U11" s="21">
        <f>'Inputs'!$D$11*'Inputs'!$D$48*(IF(U$5&lt;'Inputs'!$D$57,0,IF(U$5&lt;='Inputs'!$D$58,'Inputs'!$D$10,IF(U$5&gt;='Inputs'!$D$59,'Inputs'!$D$9,0))))</f>
        <v>0.0</v>
      </c>
      <c r="V11" s="21">
        <f>'Inputs'!$D$11*'Inputs'!$D$48*(IF(V$5&lt;'Inputs'!$D$57,0,IF(V$5&lt;='Inputs'!$D$58,'Inputs'!$D$10,IF(V$5&gt;='Inputs'!$D$59,'Inputs'!$D$9,0))))</f>
        <v>0.0</v>
      </c>
      <c r="W11" s="21">
        <f>'Inputs'!$D$11*'Inputs'!$D$48*(IF(W$5&lt;'Inputs'!$D$57,0,IF(W$5&lt;='Inputs'!$D$58,'Inputs'!$D$10,IF(W$5&gt;='Inputs'!$D$59,'Inputs'!$D$9,0))))</f>
        <v>0.0</v>
      </c>
      <c r="X11" s="21">
        <f>'Inputs'!$D$11*'Inputs'!$D$48*(IF(X$5&lt;'Inputs'!$D$57,0,IF(X$5&lt;='Inputs'!$D$58,'Inputs'!$D$10,IF(X$5&gt;='Inputs'!$D$59,'Inputs'!$D$9,0))))</f>
        <v>0.0</v>
      </c>
      <c r="Y11" s="21">
        <f>'Inputs'!$D$11*'Inputs'!$D$48*(IF(Y$5&lt;'Inputs'!$D$57,0,IF(Y$5&lt;='Inputs'!$D$58,'Inputs'!$D$10,IF(Y$5&gt;='Inputs'!$D$59,'Inputs'!$D$9,0))))</f>
        <v>0.0</v>
      </c>
      <c r="Z11" s="21">
        <f>'Inputs'!$D$11*'Inputs'!$D$48*(IF(Z$5&lt;'Inputs'!$D$57,0,IF(Z$5&lt;='Inputs'!$D$58,'Inputs'!$D$10,IF(Z$5&gt;='Inputs'!$D$59,'Inputs'!$D$9,0))))</f>
        <v>0.0</v>
      </c>
      <c r="AA11" s="21">
        <f>'Inputs'!$D$11*'Inputs'!$D$48*(IF(AA$5&lt;'Inputs'!$D$57,0,IF(AA$5&lt;='Inputs'!$D$58,'Inputs'!$D$10,IF(AA$5&gt;='Inputs'!$D$59,'Inputs'!$D$9,0))))</f>
        <v>0.0</v>
      </c>
      <c r="AB11" s="21">
        <f>'Inputs'!$D$11*'Inputs'!$D$48*(IF(AB$5&lt;'Inputs'!$D$57,0,IF(AB$5&lt;='Inputs'!$D$58,'Inputs'!$D$10,IF(AB$5&gt;='Inputs'!$D$59,'Inputs'!$D$9,0))))</f>
        <v>0.0</v>
      </c>
      <c r="AC11" s="21">
        <f>'Inputs'!$D$11*'Inputs'!$D$48*(IF(AC$5&lt;'Inputs'!$D$57,0,IF(AC$5&lt;='Inputs'!$D$58,'Inputs'!$D$10,IF(AC$5&gt;='Inputs'!$D$59,'Inputs'!$D$9,0))))</f>
        <v>0.0</v>
      </c>
      <c r="AD11" s="21">
        <f>'Inputs'!$D$11*'Inputs'!$D$48*(IF(AD$5&lt;'Inputs'!$D$57,0,IF(AD$5&lt;='Inputs'!$D$58,'Inputs'!$D$10,IF(AD$5&gt;='Inputs'!$D$59,'Inputs'!$D$9,0))))</f>
        <v>0.0</v>
      </c>
      <c r="AE11" s="21">
        <f>'Inputs'!$D$11*'Inputs'!$D$48*(IF(AE$5&lt;'Inputs'!$D$57,0,IF(AE$5&lt;='Inputs'!$D$58,'Inputs'!$D$10,IF(AE$5&gt;='Inputs'!$D$59,'Inputs'!$D$9,0))))</f>
        <v>0.0</v>
      </c>
      <c r="AF11" s="21">
        <f>'Inputs'!$D$11*'Inputs'!$D$48*(IF(AF$5&lt;'Inputs'!$D$57,0,IF(AF$5&lt;='Inputs'!$D$58,'Inputs'!$D$10,IF(AF$5&gt;='Inputs'!$D$59,'Inputs'!$D$9,0))))</f>
        <v>0.0</v>
      </c>
      <c r="AG11" s="21">
        <f>'Inputs'!$D$11*'Inputs'!$D$48*(IF(AG$5&lt;'Inputs'!$D$57,0,IF(AG$5&lt;='Inputs'!$D$58,'Inputs'!$D$10,IF(AG$5&gt;='Inputs'!$D$59,'Inputs'!$D$9,0))))</f>
        <v>0.0</v>
      </c>
      <c r="AH11" s="21">
        <f>'Inputs'!$D$11*'Inputs'!$D$48*(IF(AH$5&lt;'Inputs'!$D$57,0,IF(AH$5&lt;='Inputs'!$D$58,'Inputs'!$D$10,IF(AH$5&gt;='Inputs'!$D$59,'Inputs'!$D$9,0))))</f>
        <v>0.0</v>
      </c>
      <c r="AI11" s="21">
        <f>'Inputs'!$D$11*'Inputs'!$D$48*(IF(AI$5&lt;'Inputs'!$D$57,0,IF(AI$5&lt;='Inputs'!$D$58,'Inputs'!$D$10,IF(AI$5&gt;='Inputs'!$D$59,'Inputs'!$D$9,0))))</f>
        <v>0.0</v>
      </c>
      <c r="AJ11" s="21">
        <f>'Inputs'!$D$11*'Inputs'!$D$48*(IF(AJ$5&lt;'Inputs'!$D$57,0,IF(AJ$5&lt;='Inputs'!$D$58,'Inputs'!$D$10,IF(AJ$5&gt;='Inputs'!$D$59,'Inputs'!$D$9,0))))</f>
        <v>0.0</v>
      </c>
      <c r="AK11" s="21">
        <f>'Inputs'!$D$11*'Inputs'!$D$48*(IF(AK$5&lt;'Inputs'!$D$57,0,IF(AK$5&lt;='Inputs'!$D$58,'Inputs'!$D$10,IF(AK$5&gt;='Inputs'!$D$59,'Inputs'!$D$9,0))))</f>
        <v>0.0</v>
      </c>
      <c r="AL11" s="21">
        <f>'Inputs'!$D$11*'Inputs'!$D$48*(IF(AL$5&lt;'Inputs'!$D$57,0,IF(AL$5&lt;='Inputs'!$D$58,'Inputs'!$D$10,IF(AL$5&gt;='Inputs'!$D$59,'Inputs'!$D$9,0))))</f>
        <v>0.0</v>
      </c>
      <c r="AM11" s="21">
        <f>'Inputs'!$D$11*'Inputs'!$D$48*(IF(AM$5&lt;'Inputs'!$D$57,0,IF(AM$5&lt;='Inputs'!$D$58,'Inputs'!$D$10,IF(AM$5&gt;='Inputs'!$D$59,'Inputs'!$D$9,0))))</f>
        <v>0.0</v>
      </c>
      <c r="AN11" s="21">
        <f>'Inputs'!$D$11*'Inputs'!$D$48*(IF(AN$5&lt;'Inputs'!$D$57,0,IF(AN$5&lt;='Inputs'!$D$58,'Inputs'!$D$10,IF(AN$5&gt;='Inputs'!$D$59,'Inputs'!$D$9,0))))</f>
        <v>0.0</v>
      </c>
      <c r="AO11" s="21">
        <f>'Inputs'!$D$11*'Inputs'!$D$48*(IF(AO$5&lt;'Inputs'!$D$57,0,IF(AO$5&lt;='Inputs'!$D$58,'Inputs'!$D$10,IF(AO$5&gt;='Inputs'!$D$59,'Inputs'!$D$9,0))))</f>
        <v>0.0</v>
      </c>
      <c r="AP11" s="21">
        <f>'Inputs'!$D$11*'Inputs'!$D$48*(IF(AP$5&lt;'Inputs'!$D$57,0,IF(AP$5&lt;='Inputs'!$D$58,'Inputs'!$D$10,IF(AP$5&gt;='Inputs'!$D$59,'Inputs'!$D$9,0))))</f>
        <v>0.0</v>
      </c>
      <c r="AQ11" s="21">
        <f>'Inputs'!$D$11*'Inputs'!$D$48*(IF(AQ$5&lt;'Inputs'!$D$57,0,IF(AQ$5&lt;='Inputs'!$D$58,'Inputs'!$D$10,IF(AQ$5&gt;='Inputs'!$D$59,'Inputs'!$D$9,0))))</f>
        <v>0.0</v>
      </c>
      <c r="AR11" s="21">
        <f>'Inputs'!$D$11*'Inputs'!$D$48*(IF(AR$5&lt;'Inputs'!$D$57,0,IF(AR$5&lt;='Inputs'!$D$58,'Inputs'!$D$10,IF(AR$5&gt;='Inputs'!$D$59,'Inputs'!$D$9,0))))</f>
        <v>0.0</v>
      </c>
      <c r="AS11" s="21">
        <f>'Inputs'!$D$11*'Inputs'!$D$48*(IF(AS$5&lt;'Inputs'!$D$57,0,IF(AS$5&lt;='Inputs'!$D$58,'Inputs'!$D$10,IF(AS$5&gt;='Inputs'!$D$59,'Inputs'!$D$9,0))))</f>
        <v>0.0</v>
      </c>
      <c r="AT11" s="21">
        <f>'Inputs'!$D$11*'Inputs'!$D$48*(IF(AT$5&lt;'Inputs'!$D$57,0,IF(AT$5&lt;='Inputs'!$D$58,'Inputs'!$D$10,IF(AT$5&gt;='Inputs'!$D$59,'Inputs'!$D$9,0))))</f>
        <v>0.0</v>
      </c>
      <c r="AU11" s="21">
        <f>'Inputs'!$D$11*'Inputs'!$D$48*(IF(AU$5&lt;'Inputs'!$D$57,0,IF(AU$5&lt;='Inputs'!$D$58,'Inputs'!$D$10,IF(AU$5&gt;='Inputs'!$D$59,'Inputs'!$D$9,0))))</f>
        <v>0.0</v>
      </c>
    </row>
    <row r="12" spans="1:48">
      <c r="A12" s="5" t="s">
        <v>208</v>
      </c>
      <c r="B12" s="12" t="s">
        <v>49</v>
      </c>
      <c r="C12" s="14" t="s">
        <v>209</v>
      </c>
      <c r="D12" s="21">
        <f>'Inputs'!$D$13*'Inputs'!$D$14*(IF(D$5&lt;'Inputs'!$D$57,0,IF(D$5&lt;='Inputs'!$D$58,'Inputs'!$D$10,IF(D$5&gt;='Inputs'!$D$59,'Inputs'!$D$9,0))))</f>
        <v>1050.0</v>
      </c>
      <c r="E12" s="21">
        <f>'Inputs'!$D$13*'Inputs'!$D$14*(IF(E$5&lt;'Inputs'!$D$57,0,IF(E$5&lt;='Inputs'!$D$58,'Inputs'!$D$10,IF(E$5&gt;='Inputs'!$D$59,'Inputs'!$D$9,0))))</f>
        <v>1050.0</v>
      </c>
      <c r="F12" s="21">
        <f>'Inputs'!$D$13*'Inputs'!$D$14*(IF(F$5&lt;'Inputs'!$D$57,0,IF(F$5&lt;='Inputs'!$D$58,'Inputs'!$D$10,IF(F$5&gt;='Inputs'!$D$59,'Inputs'!$D$9,0))))</f>
        <v>1050.0</v>
      </c>
      <c r="G12" s="21">
        <f>'Inputs'!$D$13*'Inputs'!$D$14*(IF(G$5&lt;'Inputs'!$D$57,0,IF(G$5&lt;='Inputs'!$D$58,'Inputs'!$D$10,IF(G$5&gt;='Inputs'!$D$59,'Inputs'!$D$9,0))))</f>
        <v>0.0</v>
      </c>
      <c r="H12" s="21">
        <f>'Inputs'!$D$13*'Inputs'!$D$14*(IF(H$5&lt;'Inputs'!$D$57,0,IF(H$5&lt;='Inputs'!$D$58,'Inputs'!$D$10,IF(H$5&gt;='Inputs'!$D$59,'Inputs'!$D$9,0))))</f>
        <v>0.0</v>
      </c>
      <c r="I12" s="21">
        <f>'Inputs'!$D$13*'Inputs'!$D$14*(IF(I$5&lt;'Inputs'!$D$57,0,IF(I$5&lt;='Inputs'!$D$58,'Inputs'!$D$10,IF(I$5&gt;='Inputs'!$D$59,'Inputs'!$D$9,0))))</f>
        <v>0.0</v>
      </c>
      <c r="J12" s="21">
        <f>'Inputs'!$D$13*'Inputs'!$D$14*(IF(J$5&lt;'Inputs'!$D$57,0,IF(J$5&lt;='Inputs'!$D$58,'Inputs'!$D$10,IF(J$5&gt;='Inputs'!$D$59,'Inputs'!$D$9,0))))</f>
        <v>0.0</v>
      </c>
      <c r="K12" s="21">
        <f>'Inputs'!$D$13*'Inputs'!$D$14*(IF(K$5&lt;'Inputs'!$D$57,0,IF(K$5&lt;='Inputs'!$D$58,'Inputs'!$D$10,IF(K$5&gt;='Inputs'!$D$59,'Inputs'!$D$9,0))))</f>
        <v>0.0</v>
      </c>
      <c r="L12" s="21">
        <f>'Inputs'!$D$13*'Inputs'!$D$14*(IF(L$5&lt;'Inputs'!$D$57,0,IF(L$5&lt;='Inputs'!$D$58,'Inputs'!$D$10,IF(L$5&gt;='Inputs'!$D$59,'Inputs'!$D$9,0))))</f>
        <v>0.0</v>
      </c>
      <c r="M12" s="21">
        <f>'Inputs'!$D$13*'Inputs'!$D$14*(IF(M$5&lt;'Inputs'!$D$57,0,IF(M$5&lt;='Inputs'!$D$58,'Inputs'!$D$10,IF(M$5&gt;='Inputs'!$D$59,'Inputs'!$D$9,0))))</f>
        <v>0.0</v>
      </c>
      <c r="N12" s="21">
        <f>'Inputs'!$D$13*'Inputs'!$D$14*(IF(N$5&lt;'Inputs'!$D$57,0,IF(N$5&lt;='Inputs'!$D$58,'Inputs'!$D$10,IF(N$5&gt;='Inputs'!$D$59,'Inputs'!$D$9,0))))</f>
        <v>0.0</v>
      </c>
      <c r="O12" s="21">
        <f>'Inputs'!$D$13*'Inputs'!$D$14*(IF(O$5&lt;'Inputs'!$D$57,0,IF(O$5&lt;='Inputs'!$D$58,'Inputs'!$D$10,IF(O$5&gt;='Inputs'!$D$59,'Inputs'!$D$9,0))))</f>
        <v>0.0</v>
      </c>
      <c r="P12" s="21">
        <f>'Inputs'!$D$13*'Inputs'!$D$14*(IF(P$5&lt;'Inputs'!$D$57,0,IF(P$5&lt;='Inputs'!$D$58,'Inputs'!$D$10,IF(P$5&gt;='Inputs'!$D$59,'Inputs'!$D$9,0))))</f>
        <v>0.0</v>
      </c>
      <c r="Q12" s="21">
        <f>'Inputs'!$D$13*'Inputs'!$D$14*(IF(Q$5&lt;'Inputs'!$D$57,0,IF(Q$5&lt;='Inputs'!$D$58,'Inputs'!$D$10,IF(Q$5&gt;='Inputs'!$D$59,'Inputs'!$D$9,0))))</f>
        <v>0.0</v>
      </c>
      <c r="R12" s="21">
        <f>'Inputs'!$D$13*'Inputs'!$D$14*(IF(R$5&lt;'Inputs'!$D$57,0,IF(R$5&lt;='Inputs'!$D$58,'Inputs'!$D$10,IF(R$5&gt;='Inputs'!$D$59,'Inputs'!$D$9,0))))</f>
        <v>0.0</v>
      </c>
      <c r="S12" s="21">
        <f>'Inputs'!$D$13*'Inputs'!$D$14*(IF(S$5&lt;'Inputs'!$D$57,0,IF(S$5&lt;='Inputs'!$D$58,'Inputs'!$D$10,IF(S$5&gt;='Inputs'!$D$59,'Inputs'!$D$9,0))))</f>
        <v>0.0</v>
      </c>
      <c r="T12" s="21">
        <f>'Inputs'!$D$13*'Inputs'!$D$14*(IF(T$5&lt;'Inputs'!$D$57,0,IF(T$5&lt;='Inputs'!$D$58,'Inputs'!$D$10,IF(T$5&gt;='Inputs'!$D$59,'Inputs'!$D$9,0))))</f>
        <v>0.0</v>
      </c>
      <c r="U12" s="21">
        <f>'Inputs'!$D$13*'Inputs'!$D$14*(IF(U$5&lt;'Inputs'!$D$57,0,IF(U$5&lt;='Inputs'!$D$58,'Inputs'!$D$10,IF(U$5&gt;='Inputs'!$D$59,'Inputs'!$D$9,0))))</f>
        <v>0.0</v>
      </c>
      <c r="V12" s="21">
        <f>'Inputs'!$D$13*'Inputs'!$D$14*(IF(V$5&lt;'Inputs'!$D$57,0,IF(V$5&lt;='Inputs'!$D$58,'Inputs'!$D$10,IF(V$5&gt;='Inputs'!$D$59,'Inputs'!$D$9,0))))</f>
        <v>0.0</v>
      </c>
      <c r="W12" s="21">
        <f>'Inputs'!$D$13*'Inputs'!$D$14*(IF(W$5&lt;'Inputs'!$D$57,0,IF(W$5&lt;='Inputs'!$D$58,'Inputs'!$D$10,IF(W$5&gt;='Inputs'!$D$59,'Inputs'!$D$9,0))))</f>
        <v>0.0</v>
      </c>
      <c r="X12" s="21">
        <f>'Inputs'!$D$13*'Inputs'!$D$14*(IF(X$5&lt;'Inputs'!$D$57,0,IF(X$5&lt;='Inputs'!$D$58,'Inputs'!$D$10,IF(X$5&gt;='Inputs'!$D$59,'Inputs'!$D$9,0))))</f>
        <v>0.0</v>
      </c>
      <c r="Y12" s="21">
        <f>'Inputs'!$D$13*'Inputs'!$D$14*(IF(Y$5&lt;'Inputs'!$D$57,0,IF(Y$5&lt;='Inputs'!$D$58,'Inputs'!$D$10,IF(Y$5&gt;='Inputs'!$D$59,'Inputs'!$D$9,0))))</f>
        <v>0.0</v>
      </c>
      <c r="Z12" s="21">
        <f>'Inputs'!$D$13*'Inputs'!$D$14*(IF(Z$5&lt;'Inputs'!$D$57,0,IF(Z$5&lt;='Inputs'!$D$58,'Inputs'!$D$10,IF(Z$5&gt;='Inputs'!$D$59,'Inputs'!$D$9,0))))</f>
        <v>0.0</v>
      </c>
      <c r="AA12" s="21">
        <f>'Inputs'!$D$13*'Inputs'!$D$14*(IF(AA$5&lt;'Inputs'!$D$57,0,IF(AA$5&lt;='Inputs'!$D$58,'Inputs'!$D$10,IF(AA$5&gt;='Inputs'!$D$59,'Inputs'!$D$9,0))))</f>
        <v>0.0</v>
      </c>
      <c r="AB12" s="21">
        <f>'Inputs'!$D$13*'Inputs'!$D$14*(IF(AB$5&lt;'Inputs'!$D$57,0,IF(AB$5&lt;='Inputs'!$D$58,'Inputs'!$D$10,IF(AB$5&gt;='Inputs'!$D$59,'Inputs'!$D$9,0))))</f>
        <v>0.0</v>
      </c>
      <c r="AC12" s="21">
        <f>'Inputs'!$D$13*'Inputs'!$D$14*(IF(AC$5&lt;'Inputs'!$D$57,0,IF(AC$5&lt;='Inputs'!$D$58,'Inputs'!$D$10,IF(AC$5&gt;='Inputs'!$D$59,'Inputs'!$D$9,0))))</f>
        <v>0.0</v>
      </c>
      <c r="AD12" s="21">
        <f>'Inputs'!$D$13*'Inputs'!$D$14*(IF(AD$5&lt;'Inputs'!$D$57,0,IF(AD$5&lt;='Inputs'!$D$58,'Inputs'!$D$10,IF(AD$5&gt;='Inputs'!$D$59,'Inputs'!$D$9,0))))</f>
        <v>0.0</v>
      </c>
      <c r="AE12" s="21">
        <f>'Inputs'!$D$13*'Inputs'!$D$14*(IF(AE$5&lt;'Inputs'!$D$57,0,IF(AE$5&lt;='Inputs'!$D$58,'Inputs'!$D$10,IF(AE$5&gt;='Inputs'!$D$59,'Inputs'!$D$9,0))))</f>
        <v>0.0</v>
      </c>
      <c r="AF12" s="21">
        <f>'Inputs'!$D$13*'Inputs'!$D$14*(IF(AF$5&lt;'Inputs'!$D$57,0,IF(AF$5&lt;='Inputs'!$D$58,'Inputs'!$D$10,IF(AF$5&gt;='Inputs'!$D$59,'Inputs'!$D$9,0))))</f>
        <v>0.0</v>
      </c>
      <c r="AG12" s="21">
        <f>'Inputs'!$D$13*'Inputs'!$D$14*(IF(AG$5&lt;'Inputs'!$D$57,0,IF(AG$5&lt;='Inputs'!$D$58,'Inputs'!$D$10,IF(AG$5&gt;='Inputs'!$D$59,'Inputs'!$D$9,0))))</f>
        <v>0.0</v>
      </c>
      <c r="AH12" s="21">
        <f>'Inputs'!$D$13*'Inputs'!$D$14*(IF(AH$5&lt;'Inputs'!$D$57,0,IF(AH$5&lt;='Inputs'!$D$58,'Inputs'!$D$10,IF(AH$5&gt;='Inputs'!$D$59,'Inputs'!$D$9,0))))</f>
        <v>0.0</v>
      </c>
      <c r="AI12" s="21">
        <f>'Inputs'!$D$13*'Inputs'!$D$14*(IF(AI$5&lt;'Inputs'!$D$57,0,IF(AI$5&lt;='Inputs'!$D$58,'Inputs'!$D$10,IF(AI$5&gt;='Inputs'!$D$59,'Inputs'!$D$9,0))))</f>
        <v>0.0</v>
      </c>
      <c r="AJ12" s="21">
        <f>'Inputs'!$D$13*'Inputs'!$D$14*(IF(AJ$5&lt;'Inputs'!$D$57,0,IF(AJ$5&lt;='Inputs'!$D$58,'Inputs'!$D$10,IF(AJ$5&gt;='Inputs'!$D$59,'Inputs'!$D$9,0))))</f>
        <v>0.0</v>
      </c>
      <c r="AK12" s="21">
        <f>'Inputs'!$D$13*'Inputs'!$D$14*(IF(AK$5&lt;'Inputs'!$D$57,0,IF(AK$5&lt;='Inputs'!$D$58,'Inputs'!$D$10,IF(AK$5&gt;='Inputs'!$D$59,'Inputs'!$D$9,0))))</f>
        <v>0.0</v>
      </c>
      <c r="AL12" s="21">
        <f>'Inputs'!$D$13*'Inputs'!$D$14*(IF(AL$5&lt;'Inputs'!$D$57,0,IF(AL$5&lt;='Inputs'!$D$58,'Inputs'!$D$10,IF(AL$5&gt;='Inputs'!$D$59,'Inputs'!$D$9,0))))</f>
        <v>0.0</v>
      </c>
      <c r="AM12" s="21">
        <f>'Inputs'!$D$13*'Inputs'!$D$14*(IF(AM$5&lt;'Inputs'!$D$57,0,IF(AM$5&lt;='Inputs'!$D$58,'Inputs'!$D$10,IF(AM$5&gt;='Inputs'!$D$59,'Inputs'!$D$9,0))))</f>
        <v>0.0</v>
      </c>
      <c r="AN12" s="21">
        <f>'Inputs'!$D$13*'Inputs'!$D$14*(IF(AN$5&lt;'Inputs'!$D$57,0,IF(AN$5&lt;='Inputs'!$D$58,'Inputs'!$D$10,IF(AN$5&gt;='Inputs'!$D$59,'Inputs'!$D$9,0))))</f>
        <v>0.0</v>
      </c>
      <c r="AO12" s="21">
        <f>'Inputs'!$D$13*'Inputs'!$D$14*(IF(AO$5&lt;'Inputs'!$D$57,0,IF(AO$5&lt;='Inputs'!$D$58,'Inputs'!$D$10,IF(AO$5&gt;='Inputs'!$D$59,'Inputs'!$D$9,0))))</f>
        <v>0.0</v>
      </c>
      <c r="AP12" s="21">
        <f>'Inputs'!$D$13*'Inputs'!$D$14*(IF(AP$5&lt;'Inputs'!$D$57,0,IF(AP$5&lt;='Inputs'!$D$58,'Inputs'!$D$10,IF(AP$5&gt;='Inputs'!$D$59,'Inputs'!$D$9,0))))</f>
        <v>0.0</v>
      </c>
      <c r="AQ12" s="21">
        <f>'Inputs'!$D$13*'Inputs'!$D$14*(IF(AQ$5&lt;'Inputs'!$D$57,0,IF(AQ$5&lt;='Inputs'!$D$58,'Inputs'!$D$10,IF(AQ$5&gt;='Inputs'!$D$59,'Inputs'!$D$9,0))))</f>
        <v>0.0</v>
      </c>
      <c r="AR12" s="21">
        <f>'Inputs'!$D$13*'Inputs'!$D$14*(IF(AR$5&lt;'Inputs'!$D$57,0,IF(AR$5&lt;='Inputs'!$D$58,'Inputs'!$D$10,IF(AR$5&gt;='Inputs'!$D$59,'Inputs'!$D$9,0))))</f>
        <v>0.0</v>
      </c>
      <c r="AS12" s="21">
        <f>'Inputs'!$D$13*'Inputs'!$D$14*(IF(AS$5&lt;'Inputs'!$D$57,0,IF(AS$5&lt;='Inputs'!$D$58,'Inputs'!$D$10,IF(AS$5&gt;='Inputs'!$D$59,'Inputs'!$D$9,0))))</f>
        <v>0.0</v>
      </c>
      <c r="AT12" s="21">
        <f>'Inputs'!$D$13*'Inputs'!$D$14*(IF(AT$5&lt;'Inputs'!$D$57,0,IF(AT$5&lt;='Inputs'!$D$58,'Inputs'!$D$10,IF(AT$5&gt;='Inputs'!$D$59,'Inputs'!$D$9,0))))</f>
        <v>0.0</v>
      </c>
      <c r="AU12" s="21">
        <f>'Inputs'!$D$13*'Inputs'!$D$14*(IF(AU$5&lt;'Inputs'!$D$57,0,IF(AU$5&lt;='Inputs'!$D$58,'Inputs'!$D$10,IF(AU$5&gt;='Inputs'!$D$59,'Inputs'!$D$9,0))))</f>
        <v>0.0</v>
      </c>
    </row>
    <row r="13" spans="1:48">
      <c r="A13" s="5" t="s">
        <v>210</v>
      </c>
      <c r="B13" s="12" t="s">
        <v>49</v>
      </c>
      <c r="C13" s="14" t="s">
        <v>211</v>
      </c>
      <c r="D13" s="21">
        <f>'Inputs'!$D$16*'Inputs'!$D$17*(IF(D$5&lt;'Inputs'!$D$57,0,IF(D$5&lt;='Inputs'!$D$58,'Inputs'!$D$10,IF(D$5&gt;='Inputs'!$D$59,'Inputs'!$D$9,0))))</f>
        <v>400.0</v>
      </c>
      <c r="E13" s="21">
        <f>'Inputs'!$D$16*'Inputs'!$D$17*(IF(E$5&lt;'Inputs'!$D$57,0,IF(E$5&lt;='Inputs'!$D$58,'Inputs'!$D$10,IF(E$5&gt;='Inputs'!$D$59,'Inputs'!$D$9,0))))</f>
        <v>400.0</v>
      </c>
      <c r="F13" s="21">
        <f>'Inputs'!$D$16*'Inputs'!$D$17*(IF(F$5&lt;'Inputs'!$D$57,0,IF(F$5&lt;='Inputs'!$D$58,'Inputs'!$D$10,IF(F$5&gt;='Inputs'!$D$59,'Inputs'!$D$9,0))))</f>
        <v>400.0</v>
      </c>
      <c r="G13" s="21">
        <f>'Inputs'!$D$16*'Inputs'!$D$17*(IF(G$5&lt;'Inputs'!$D$57,0,IF(G$5&lt;='Inputs'!$D$58,'Inputs'!$D$10,IF(G$5&gt;='Inputs'!$D$59,'Inputs'!$D$9,0))))</f>
        <v>0.0</v>
      </c>
      <c r="H13" s="21">
        <f>'Inputs'!$D$16*'Inputs'!$D$17*(IF(H$5&lt;'Inputs'!$D$57,0,IF(H$5&lt;='Inputs'!$D$58,'Inputs'!$D$10,IF(H$5&gt;='Inputs'!$D$59,'Inputs'!$D$9,0))))</f>
        <v>0.0</v>
      </c>
      <c r="I13" s="21">
        <f>'Inputs'!$D$16*'Inputs'!$D$17*(IF(I$5&lt;'Inputs'!$D$57,0,IF(I$5&lt;='Inputs'!$D$58,'Inputs'!$D$10,IF(I$5&gt;='Inputs'!$D$59,'Inputs'!$D$9,0))))</f>
        <v>0.0</v>
      </c>
      <c r="J13" s="21">
        <f>'Inputs'!$D$16*'Inputs'!$D$17*(IF(J$5&lt;'Inputs'!$D$57,0,IF(J$5&lt;='Inputs'!$D$58,'Inputs'!$D$10,IF(J$5&gt;='Inputs'!$D$59,'Inputs'!$D$9,0))))</f>
        <v>0.0</v>
      </c>
      <c r="K13" s="21">
        <f>'Inputs'!$D$16*'Inputs'!$D$17*(IF(K$5&lt;'Inputs'!$D$57,0,IF(K$5&lt;='Inputs'!$D$58,'Inputs'!$D$10,IF(K$5&gt;='Inputs'!$D$59,'Inputs'!$D$9,0))))</f>
        <v>0.0</v>
      </c>
      <c r="L13" s="21">
        <f>'Inputs'!$D$16*'Inputs'!$D$17*(IF(L$5&lt;'Inputs'!$D$57,0,IF(L$5&lt;='Inputs'!$D$58,'Inputs'!$D$10,IF(L$5&gt;='Inputs'!$D$59,'Inputs'!$D$9,0))))</f>
        <v>0.0</v>
      </c>
      <c r="M13" s="21">
        <f>'Inputs'!$D$16*'Inputs'!$D$17*(IF(M$5&lt;'Inputs'!$D$57,0,IF(M$5&lt;='Inputs'!$D$58,'Inputs'!$D$10,IF(M$5&gt;='Inputs'!$D$59,'Inputs'!$D$9,0))))</f>
        <v>0.0</v>
      </c>
      <c r="N13" s="21">
        <f>'Inputs'!$D$16*'Inputs'!$D$17*(IF(N$5&lt;'Inputs'!$D$57,0,IF(N$5&lt;='Inputs'!$D$58,'Inputs'!$D$10,IF(N$5&gt;='Inputs'!$D$59,'Inputs'!$D$9,0))))</f>
        <v>0.0</v>
      </c>
      <c r="O13" s="21">
        <f>'Inputs'!$D$16*'Inputs'!$D$17*(IF(O$5&lt;'Inputs'!$D$57,0,IF(O$5&lt;='Inputs'!$D$58,'Inputs'!$D$10,IF(O$5&gt;='Inputs'!$D$59,'Inputs'!$D$9,0))))</f>
        <v>0.0</v>
      </c>
      <c r="P13" s="21">
        <f>'Inputs'!$D$16*'Inputs'!$D$17*(IF(P$5&lt;'Inputs'!$D$57,0,IF(P$5&lt;='Inputs'!$D$58,'Inputs'!$D$10,IF(P$5&gt;='Inputs'!$D$59,'Inputs'!$D$9,0))))</f>
        <v>0.0</v>
      </c>
      <c r="Q13" s="21">
        <f>'Inputs'!$D$16*'Inputs'!$D$17*(IF(Q$5&lt;'Inputs'!$D$57,0,IF(Q$5&lt;='Inputs'!$D$58,'Inputs'!$D$10,IF(Q$5&gt;='Inputs'!$D$59,'Inputs'!$D$9,0))))</f>
        <v>0.0</v>
      </c>
      <c r="R13" s="21">
        <f>'Inputs'!$D$16*'Inputs'!$D$17*(IF(R$5&lt;'Inputs'!$D$57,0,IF(R$5&lt;='Inputs'!$D$58,'Inputs'!$D$10,IF(R$5&gt;='Inputs'!$D$59,'Inputs'!$D$9,0))))</f>
        <v>0.0</v>
      </c>
      <c r="S13" s="21">
        <f>'Inputs'!$D$16*'Inputs'!$D$17*(IF(S$5&lt;'Inputs'!$D$57,0,IF(S$5&lt;='Inputs'!$D$58,'Inputs'!$D$10,IF(S$5&gt;='Inputs'!$D$59,'Inputs'!$D$9,0))))</f>
        <v>0.0</v>
      </c>
      <c r="T13" s="21">
        <f>'Inputs'!$D$16*'Inputs'!$D$17*(IF(T$5&lt;'Inputs'!$D$57,0,IF(T$5&lt;='Inputs'!$D$58,'Inputs'!$D$10,IF(T$5&gt;='Inputs'!$D$59,'Inputs'!$D$9,0))))</f>
        <v>0.0</v>
      </c>
      <c r="U13" s="21">
        <f>'Inputs'!$D$16*'Inputs'!$D$17*(IF(U$5&lt;'Inputs'!$D$57,0,IF(U$5&lt;='Inputs'!$D$58,'Inputs'!$D$10,IF(U$5&gt;='Inputs'!$D$59,'Inputs'!$D$9,0))))</f>
        <v>0.0</v>
      </c>
      <c r="V13" s="21">
        <f>'Inputs'!$D$16*'Inputs'!$D$17*(IF(V$5&lt;'Inputs'!$D$57,0,IF(V$5&lt;='Inputs'!$D$58,'Inputs'!$D$10,IF(V$5&gt;='Inputs'!$D$59,'Inputs'!$D$9,0))))</f>
        <v>0.0</v>
      </c>
      <c r="W13" s="21">
        <f>'Inputs'!$D$16*'Inputs'!$D$17*(IF(W$5&lt;'Inputs'!$D$57,0,IF(W$5&lt;='Inputs'!$D$58,'Inputs'!$D$10,IF(W$5&gt;='Inputs'!$D$59,'Inputs'!$D$9,0))))</f>
        <v>0.0</v>
      </c>
      <c r="X13" s="21">
        <f>'Inputs'!$D$16*'Inputs'!$D$17*(IF(X$5&lt;'Inputs'!$D$57,0,IF(X$5&lt;='Inputs'!$D$58,'Inputs'!$D$10,IF(X$5&gt;='Inputs'!$D$59,'Inputs'!$D$9,0))))</f>
        <v>0.0</v>
      </c>
      <c r="Y13" s="21">
        <f>'Inputs'!$D$16*'Inputs'!$D$17*(IF(Y$5&lt;'Inputs'!$D$57,0,IF(Y$5&lt;='Inputs'!$D$58,'Inputs'!$D$10,IF(Y$5&gt;='Inputs'!$D$59,'Inputs'!$D$9,0))))</f>
        <v>0.0</v>
      </c>
      <c r="Z13" s="21">
        <f>'Inputs'!$D$16*'Inputs'!$D$17*(IF(Z$5&lt;'Inputs'!$D$57,0,IF(Z$5&lt;='Inputs'!$D$58,'Inputs'!$D$10,IF(Z$5&gt;='Inputs'!$D$59,'Inputs'!$D$9,0))))</f>
        <v>0.0</v>
      </c>
      <c r="AA13" s="21">
        <f>'Inputs'!$D$16*'Inputs'!$D$17*(IF(AA$5&lt;'Inputs'!$D$57,0,IF(AA$5&lt;='Inputs'!$D$58,'Inputs'!$D$10,IF(AA$5&gt;='Inputs'!$D$59,'Inputs'!$D$9,0))))</f>
        <v>0.0</v>
      </c>
      <c r="AB13" s="21">
        <f>'Inputs'!$D$16*'Inputs'!$D$17*(IF(AB$5&lt;'Inputs'!$D$57,0,IF(AB$5&lt;='Inputs'!$D$58,'Inputs'!$D$10,IF(AB$5&gt;='Inputs'!$D$59,'Inputs'!$D$9,0))))</f>
        <v>0.0</v>
      </c>
      <c r="AC13" s="21">
        <f>'Inputs'!$D$16*'Inputs'!$D$17*(IF(AC$5&lt;'Inputs'!$D$57,0,IF(AC$5&lt;='Inputs'!$D$58,'Inputs'!$D$10,IF(AC$5&gt;='Inputs'!$D$59,'Inputs'!$D$9,0))))</f>
        <v>0.0</v>
      </c>
      <c r="AD13" s="21">
        <f>'Inputs'!$D$16*'Inputs'!$D$17*(IF(AD$5&lt;'Inputs'!$D$57,0,IF(AD$5&lt;='Inputs'!$D$58,'Inputs'!$D$10,IF(AD$5&gt;='Inputs'!$D$59,'Inputs'!$D$9,0))))</f>
        <v>0.0</v>
      </c>
      <c r="AE13" s="21">
        <f>'Inputs'!$D$16*'Inputs'!$D$17*(IF(AE$5&lt;'Inputs'!$D$57,0,IF(AE$5&lt;='Inputs'!$D$58,'Inputs'!$D$10,IF(AE$5&gt;='Inputs'!$D$59,'Inputs'!$D$9,0))))</f>
        <v>0.0</v>
      </c>
      <c r="AF13" s="21">
        <f>'Inputs'!$D$16*'Inputs'!$D$17*(IF(AF$5&lt;'Inputs'!$D$57,0,IF(AF$5&lt;='Inputs'!$D$58,'Inputs'!$D$10,IF(AF$5&gt;='Inputs'!$D$59,'Inputs'!$D$9,0))))</f>
        <v>0.0</v>
      </c>
      <c r="AG13" s="21">
        <f>'Inputs'!$D$16*'Inputs'!$D$17*(IF(AG$5&lt;'Inputs'!$D$57,0,IF(AG$5&lt;='Inputs'!$D$58,'Inputs'!$D$10,IF(AG$5&gt;='Inputs'!$D$59,'Inputs'!$D$9,0))))</f>
        <v>0.0</v>
      </c>
      <c r="AH13" s="21">
        <f>'Inputs'!$D$16*'Inputs'!$D$17*(IF(AH$5&lt;'Inputs'!$D$57,0,IF(AH$5&lt;='Inputs'!$D$58,'Inputs'!$D$10,IF(AH$5&gt;='Inputs'!$D$59,'Inputs'!$D$9,0))))</f>
        <v>0.0</v>
      </c>
      <c r="AI13" s="21">
        <f>'Inputs'!$D$16*'Inputs'!$D$17*(IF(AI$5&lt;'Inputs'!$D$57,0,IF(AI$5&lt;='Inputs'!$D$58,'Inputs'!$D$10,IF(AI$5&gt;='Inputs'!$D$59,'Inputs'!$D$9,0))))</f>
        <v>0.0</v>
      </c>
      <c r="AJ13" s="21">
        <f>'Inputs'!$D$16*'Inputs'!$D$17*(IF(AJ$5&lt;'Inputs'!$D$57,0,IF(AJ$5&lt;='Inputs'!$D$58,'Inputs'!$D$10,IF(AJ$5&gt;='Inputs'!$D$59,'Inputs'!$D$9,0))))</f>
        <v>0.0</v>
      </c>
      <c r="AK13" s="21">
        <f>'Inputs'!$D$16*'Inputs'!$D$17*(IF(AK$5&lt;'Inputs'!$D$57,0,IF(AK$5&lt;='Inputs'!$D$58,'Inputs'!$D$10,IF(AK$5&gt;='Inputs'!$D$59,'Inputs'!$D$9,0))))</f>
        <v>0.0</v>
      </c>
      <c r="AL13" s="21">
        <f>'Inputs'!$D$16*'Inputs'!$D$17*(IF(AL$5&lt;'Inputs'!$D$57,0,IF(AL$5&lt;='Inputs'!$D$58,'Inputs'!$D$10,IF(AL$5&gt;='Inputs'!$D$59,'Inputs'!$D$9,0))))</f>
        <v>0.0</v>
      </c>
      <c r="AM13" s="21">
        <f>'Inputs'!$D$16*'Inputs'!$D$17*(IF(AM$5&lt;'Inputs'!$D$57,0,IF(AM$5&lt;='Inputs'!$D$58,'Inputs'!$D$10,IF(AM$5&gt;='Inputs'!$D$59,'Inputs'!$D$9,0))))</f>
        <v>0.0</v>
      </c>
      <c r="AN13" s="21">
        <f>'Inputs'!$D$16*'Inputs'!$D$17*(IF(AN$5&lt;'Inputs'!$D$57,0,IF(AN$5&lt;='Inputs'!$D$58,'Inputs'!$D$10,IF(AN$5&gt;='Inputs'!$D$59,'Inputs'!$D$9,0))))</f>
        <v>0.0</v>
      </c>
      <c r="AO13" s="21">
        <f>'Inputs'!$D$16*'Inputs'!$D$17*(IF(AO$5&lt;'Inputs'!$D$57,0,IF(AO$5&lt;='Inputs'!$D$58,'Inputs'!$D$10,IF(AO$5&gt;='Inputs'!$D$59,'Inputs'!$D$9,0))))</f>
        <v>0.0</v>
      </c>
      <c r="AP13" s="21">
        <f>'Inputs'!$D$16*'Inputs'!$D$17*(IF(AP$5&lt;'Inputs'!$D$57,0,IF(AP$5&lt;='Inputs'!$D$58,'Inputs'!$D$10,IF(AP$5&gt;='Inputs'!$D$59,'Inputs'!$D$9,0))))</f>
        <v>0.0</v>
      </c>
      <c r="AQ13" s="21">
        <f>'Inputs'!$D$16*'Inputs'!$D$17*(IF(AQ$5&lt;'Inputs'!$D$57,0,IF(AQ$5&lt;='Inputs'!$D$58,'Inputs'!$D$10,IF(AQ$5&gt;='Inputs'!$D$59,'Inputs'!$D$9,0))))</f>
        <v>0.0</v>
      </c>
      <c r="AR13" s="21">
        <f>'Inputs'!$D$16*'Inputs'!$D$17*(IF(AR$5&lt;'Inputs'!$D$57,0,IF(AR$5&lt;='Inputs'!$D$58,'Inputs'!$D$10,IF(AR$5&gt;='Inputs'!$D$59,'Inputs'!$D$9,0))))</f>
        <v>0.0</v>
      </c>
      <c r="AS13" s="21">
        <f>'Inputs'!$D$16*'Inputs'!$D$17*(IF(AS$5&lt;'Inputs'!$D$57,0,IF(AS$5&lt;='Inputs'!$D$58,'Inputs'!$D$10,IF(AS$5&gt;='Inputs'!$D$59,'Inputs'!$D$9,0))))</f>
        <v>0.0</v>
      </c>
      <c r="AT13" s="21">
        <f>'Inputs'!$D$16*'Inputs'!$D$17*(IF(AT$5&lt;'Inputs'!$D$57,0,IF(AT$5&lt;='Inputs'!$D$58,'Inputs'!$D$10,IF(AT$5&gt;='Inputs'!$D$59,'Inputs'!$D$9,0))))</f>
        <v>0.0</v>
      </c>
      <c r="AU13" s="21">
        <f>'Inputs'!$D$16*'Inputs'!$D$17*(IF(AU$5&lt;'Inputs'!$D$57,0,IF(AU$5&lt;='Inputs'!$D$58,'Inputs'!$D$10,IF(AU$5&gt;='Inputs'!$D$59,'Inputs'!$D$9,0))))</f>
        <v>0.0</v>
      </c>
    </row>
    <row r="14" spans="1:48">
      <c r="A14" s="19" t="s">
        <v>212</v>
      </c>
      <c r="B14" s="12" t="s">
        <v>49</v>
      </c>
      <c r="C14" s="14" t="s">
        <v>213</v>
      </c>
      <c r="D14" s="20">
        <f>SUM(D11:D13)</f>
        <v>3250.0</v>
      </c>
      <c r="E14" s="20">
        <f>SUM(E11:E13)</f>
        <v>3250.0</v>
      </c>
      <c r="F14" s="20">
        <f>SUM(F11:F13)</f>
        <v>3250.0</v>
      </c>
      <c r="G14" s="20">
        <f>SUM(G11:G13)</f>
        <v>0.0</v>
      </c>
      <c r="H14" s="20">
        <f>SUM(H11:H13)</f>
        <v>0.0</v>
      </c>
      <c r="I14" s="20">
        <f>SUM(I11:I13)</f>
        <v>0.0</v>
      </c>
      <c r="J14" s="20">
        <f>SUM(J11:J13)</f>
        <v>0.0</v>
      </c>
      <c r="K14" s="20">
        <f>SUM(K11:K13)</f>
        <v>0.0</v>
      </c>
      <c r="L14" s="20">
        <f>SUM(L11:L13)</f>
        <v>0.0</v>
      </c>
      <c r="M14" s="20">
        <f>SUM(M11:M13)</f>
        <v>0.0</v>
      </c>
      <c r="N14" s="20">
        <f>SUM(N11:N13)</f>
        <v>0.0</v>
      </c>
      <c r="O14" s="20">
        <f>SUM(O11:O13)</f>
        <v>0.0</v>
      </c>
      <c r="P14" s="20">
        <f>SUM(P11:P13)</f>
        <v>0.0</v>
      </c>
      <c r="Q14" s="20">
        <f>SUM(Q11:Q13)</f>
        <v>0.0</v>
      </c>
      <c r="R14" s="20">
        <f>SUM(R11:R13)</f>
        <v>0.0</v>
      </c>
      <c r="S14" s="20">
        <f>SUM(S11:S13)</f>
        <v>0.0</v>
      </c>
      <c r="T14" s="20">
        <f>SUM(T11:T13)</f>
        <v>0.0</v>
      </c>
      <c r="U14" s="20">
        <f>SUM(U11:U13)</f>
        <v>0.0</v>
      </c>
      <c r="V14" s="20">
        <f>SUM(V11:V13)</f>
        <v>0.0</v>
      </c>
      <c r="W14" s="20">
        <f>SUM(W11:W13)</f>
        <v>0.0</v>
      </c>
      <c r="X14" s="20">
        <f>SUM(X11:X13)</f>
        <v>0.0</v>
      </c>
      <c r="Y14" s="20">
        <f>SUM(Y11:Y13)</f>
        <v>0.0</v>
      </c>
      <c r="Z14" s="20">
        <f>SUM(Z11:Z13)</f>
        <v>0.0</v>
      </c>
      <c r="AA14" s="20">
        <f>SUM(AA11:AA13)</f>
        <v>0.0</v>
      </c>
      <c r="AB14" s="20">
        <f>SUM(AB11:AB13)</f>
        <v>0.0</v>
      </c>
      <c r="AC14" s="20">
        <f>SUM(AC11:AC13)</f>
        <v>0.0</v>
      </c>
      <c r="AD14" s="20">
        <f>SUM(AD11:AD13)</f>
        <v>0.0</v>
      </c>
      <c r="AE14" s="20">
        <f>SUM(AE11:AE13)</f>
        <v>0.0</v>
      </c>
      <c r="AF14" s="20">
        <f>SUM(AF11:AF13)</f>
        <v>0.0</v>
      </c>
      <c r="AG14" s="20">
        <f>SUM(AG11:AG13)</f>
        <v>0.0</v>
      </c>
      <c r="AH14" s="20">
        <f>SUM(AH11:AH13)</f>
        <v>0.0</v>
      </c>
      <c r="AI14" s="20">
        <f>SUM(AI11:AI13)</f>
        <v>0.0</v>
      </c>
      <c r="AJ14" s="20">
        <f>SUM(AJ11:AJ13)</f>
        <v>0.0</v>
      </c>
      <c r="AK14" s="20">
        <f>SUM(AK11:AK13)</f>
        <v>0.0</v>
      </c>
      <c r="AL14" s="20">
        <f>SUM(AL11:AL13)</f>
        <v>0.0</v>
      </c>
      <c r="AM14" s="20">
        <f>SUM(AM11:AM13)</f>
        <v>0.0</v>
      </c>
      <c r="AN14" s="20">
        <f>SUM(AN11:AN13)</f>
        <v>0.0</v>
      </c>
      <c r="AO14" s="20">
        <f>SUM(AO11:AO13)</f>
        <v>0.0</v>
      </c>
      <c r="AP14" s="20">
        <f>SUM(AP11:AP13)</f>
        <v>0.0</v>
      </c>
      <c r="AQ14" s="20">
        <f>SUM(AQ11:AQ13)</f>
        <v>0.0</v>
      </c>
      <c r="AR14" s="20">
        <f>SUM(AR11:AR13)</f>
        <v>0.0</v>
      </c>
      <c r="AS14" s="20">
        <f>SUM(AS11:AS13)</f>
        <v>0.0</v>
      </c>
      <c r="AT14" s="20">
        <f>SUM(AT11:AT13)</f>
        <v>0.0</v>
      </c>
      <c r="AU14" s="20">
        <f>SUM(AU11:AU13)</f>
        <v>0.0</v>
      </c>
    </row>
    <row r="15" spans="1:48">
      <c r="A15" s="19" t="s">
        <v>214</v>
      </c>
      <c r="B15" s="12" t="s">
        <v>49</v>
      </c>
      <c r="C15" s="14" t="s">
        <v>215</v>
      </c>
      <c r="D15" s="20">
        <f>D10+D14</f>
        <v>8394.42</v>
      </c>
      <c r="E15" s="20">
        <f>E10+E14</f>
        <v>8394.42</v>
      </c>
      <c r="F15" s="20">
        <f>F10+F14</f>
        <v>8394.42</v>
      </c>
      <c r="G15" s="20">
        <f>G10+G14</f>
        <v>5144.42</v>
      </c>
      <c r="H15" s="20">
        <f>H10+H14</f>
        <v>5144.42</v>
      </c>
      <c r="I15" s="20">
        <f>I10+I14</f>
        <v>5144.42</v>
      </c>
      <c r="J15" s="20">
        <f>J10+J14</f>
        <v>5144.42</v>
      </c>
      <c r="K15" s="20">
        <f>K10+K14</f>
        <v>5144.42</v>
      </c>
      <c r="L15" s="20">
        <f>L10+L14</f>
        <v>20143.873</v>
      </c>
      <c r="M15" s="20">
        <f>M10+M14</f>
        <v>26572.21</v>
      </c>
      <c r="N15" s="20">
        <f>N10+N14</f>
        <v>33000.547</v>
      </c>
      <c r="O15" s="20">
        <f>O10+O14</f>
        <v>39428.884</v>
      </c>
      <c r="P15" s="20">
        <f>P10+P14</f>
        <v>43714.442</v>
      </c>
      <c r="Q15" s="20">
        <f>Q10+Q14</f>
        <v>48000.0</v>
      </c>
      <c r="R15" s="20">
        <f>R10+R14</f>
        <v>48000.0</v>
      </c>
      <c r="S15" s="20">
        <f>S10+S14</f>
        <v>53630.0</v>
      </c>
      <c r="T15" s="20">
        <f>T10+T14</f>
        <v>53630.0</v>
      </c>
      <c r="U15" s="20">
        <f>U10+U14</f>
        <v>53630.0</v>
      </c>
      <c r="V15" s="20">
        <f>V10+V14</f>
        <v>53630.0</v>
      </c>
      <c r="W15" s="20">
        <f>W10+W14</f>
        <v>53630.0</v>
      </c>
      <c r="X15" s="20">
        <f>X10+X14</f>
        <v>53630.0</v>
      </c>
      <c r="Y15" s="20">
        <f>Y10+Y14</f>
        <v>53630.0</v>
      </c>
      <c r="Z15" s="20">
        <f>Z10+Z14</f>
        <v>53630.0</v>
      </c>
      <c r="AA15" s="20">
        <f>AA10+AA14</f>
        <v>53630.0</v>
      </c>
      <c r="AB15" s="20">
        <f>AB10+AB14</f>
        <v>53630.0</v>
      </c>
      <c r="AC15" s="20">
        <f>AC10+AC14</f>
        <v>53630.0</v>
      </c>
      <c r="AD15" s="20">
        <f>AD10+AD14</f>
        <v>53630.0</v>
      </c>
      <c r="AE15" s="20">
        <f>AE10+AE14</f>
        <v>53630.0</v>
      </c>
      <c r="AF15" s="20">
        <f>AF10+AF14</f>
        <v>53630.0</v>
      </c>
      <c r="AG15" s="20">
        <f>AG10+AG14</f>
        <v>53630.0</v>
      </c>
      <c r="AH15" s="20">
        <f>AH10+AH14</f>
        <v>53630.0</v>
      </c>
      <c r="AI15" s="20">
        <f>AI10+AI14</f>
        <v>53630.0</v>
      </c>
      <c r="AJ15" s="20">
        <f>AJ10+AJ14</f>
        <v>53630.0</v>
      </c>
      <c r="AK15" s="20">
        <f>AK10+AK14</f>
        <v>53630.0</v>
      </c>
      <c r="AL15" s="20">
        <f>AL10+AL14</f>
        <v>53630.0</v>
      </c>
      <c r="AM15" s="20">
        <f>AM10+AM14</f>
        <v>53630.0</v>
      </c>
      <c r="AN15" s="20">
        <f>AN10+AN14</f>
        <v>53630.0</v>
      </c>
      <c r="AO15" s="20">
        <f>AO10+AO14</f>
        <v>53630.0</v>
      </c>
      <c r="AP15" s="20">
        <f>AP10+AP14</f>
        <v>53630.0</v>
      </c>
      <c r="AQ15" s="20">
        <f>AQ10+AQ14</f>
        <v>53630.0</v>
      </c>
      <c r="AR15" s="20">
        <f>AR10+AR14</f>
        <v>53630.0</v>
      </c>
      <c r="AS15" s="20">
        <f>AS10+AS14</f>
        <v>53630.0</v>
      </c>
      <c r="AT15" s="20">
        <f>AT10+AT14</f>
        <v>53630.0</v>
      </c>
      <c r="AU15" s="20">
        <f>AU10+AU14</f>
        <v>53630.0</v>
      </c>
    </row>
    <row r="16" spans="1:48">
      <c r="A16" s="19" t="s">
        <v>216</v>
      </c>
      <c r="B16" s="12" t="s">
        <v>49</v>
      </c>
      <c r="C16" s="14" t="s">
        <v>217</v>
      </c>
      <c r="D16" s="20">
        <f>D10+'Inputs'!$D$13*'Inputs'!$D$15*(IF(D$5&lt;'Inputs'!$D$57,0,IF(D$5&lt;='Inputs'!$D$58,'Inputs'!$D$10,IF(D$5&gt;='Inputs'!$D$59,'Inputs'!$D$9,0))))+D13</f>
        <v>6219.42</v>
      </c>
      <c r="E16" s="20">
        <f>E10+'Inputs'!$D$13*'Inputs'!$D$15*(IF(E$5&lt;'Inputs'!$D$57,0,IF(E$5&lt;='Inputs'!$D$58,'Inputs'!$D$10,IF(E$5&gt;='Inputs'!$D$59,'Inputs'!$D$9,0))))+E13</f>
        <v>6219.42</v>
      </c>
      <c r="F16" s="20">
        <f>F10+'Inputs'!$D$13*'Inputs'!$D$15*(IF(F$5&lt;'Inputs'!$D$57,0,IF(F$5&lt;='Inputs'!$D$58,'Inputs'!$D$10,IF(F$5&gt;='Inputs'!$D$59,'Inputs'!$D$9,0))))+F13</f>
        <v>6219.42</v>
      </c>
      <c r="G16" s="20">
        <f>G10+'Inputs'!$D$13*'Inputs'!$D$15*(IF(G$5&lt;'Inputs'!$D$57,0,IF(G$5&lt;='Inputs'!$D$58,'Inputs'!$D$10,IF(G$5&gt;='Inputs'!$D$59,'Inputs'!$D$9,0))))+G13</f>
        <v>5144.42</v>
      </c>
      <c r="H16" s="20">
        <f>H10+'Inputs'!$D$13*'Inputs'!$D$15*(IF(H$5&lt;'Inputs'!$D$57,0,IF(H$5&lt;='Inputs'!$D$58,'Inputs'!$D$10,IF(H$5&gt;='Inputs'!$D$59,'Inputs'!$D$9,0))))+H13</f>
        <v>5144.42</v>
      </c>
      <c r="I16" s="20">
        <f>I10+'Inputs'!$D$13*'Inputs'!$D$15*(IF(I$5&lt;'Inputs'!$D$57,0,IF(I$5&lt;='Inputs'!$D$58,'Inputs'!$D$10,IF(I$5&gt;='Inputs'!$D$59,'Inputs'!$D$9,0))))+I13</f>
        <v>5144.42</v>
      </c>
      <c r="J16" s="20">
        <f>J10+'Inputs'!$D$13*'Inputs'!$D$15*(IF(J$5&lt;'Inputs'!$D$57,0,IF(J$5&lt;='Inputs'!$D$58,'Inputs'!$D$10,IF(J$5&gt;='Inputs'!$D$59,'Inputs'!$D$9,0))))+J13</f>
        <v>5144.42</v>
      </c>
      <c r="K16" s="20">
        <f>K10+'Inputs'!$D$13*'Inputs'!$D$15*(IF(K$5&lt;'Inputs'!$D$57,0,IF(K$5&lt;='Inputs'!$D$58,'Inputs'!$D$10,IF(K$5&gt;='Inputs'!$D$59,'Inputs'!$D$9,0))))+K13</f>
        <v>5144.42</v>
      </c>
      <c r="L16" s="20">
        <f>L10+'Inputs'!$D$13*'Inputs'!$D$15*(IF(L$5&lt;'Inputs'!$D$57,0,IF(L$5&lt;='Inputs'!$D$58,'Inputs'!$D$10,IF(L$5&gt;='Inputs'!$D$59,'Inputs'!$D$9,0))))+L13</f>
        <v>20143.873</v>
      </c>
      <c r="M16" s="20">
        <f>M10+'Inputs'!$D$13*'Inputs'!$D$15*(IF(M$5&lt;'Inputs'!$D$57,0,IF(M$5&lt;='Inputs'!$D$58,'Inputs'!$D$10,IF(M$5&gt;='Inputs'!$D$59,'Inputs'!$D$9,0))))+M13</f>
        <v>26572.21</v>
      </c>
      <c r="N16" s="20">
        <f>N10+'Inputs'!$D$13*'Inputs'!$D$15*(IF(N$5&lt;'Inputs'!$D$57,0,IF(N$5&lt;='Inputs'!$D$58,'Inputs'!$D$10,IF(N$5&gt;='Inputs'!$D$59,'Inputs'!$D$9,0))))+N13</f>
        <v>33000.547</v>
      </c>
      <c r="O16" s="20">
        <f>O10+'Inputs'!$D$13*'Inputs'!$D$15*(IF(O$5&lt;'Inputs'!$D$57,0,IF(O$5&lt;='Inputs'!$D$58,'Inputs'!$D$10,IF(O$5&gt;='Inputs'!$D$59,'Inputs'!$D$9,0))))+O13</f>
        <v>39428.884</v>
      </c>
      <c r="P16" s="20">
        <f>P10+'Inputs'!$D$13*'Inputs'!$D$15*(IF(P$5&lt;'Inputs'!$D$57,0,IF(P$5&lt;='Inputs'!$D$58,'Inputs'!$D$10,IF(P$5&gt;='Inputs'!$D$59,'Inputs'!$D$9,0))))+P13</f>
        <v>43714.442</v>
      </c>
      <c r="Q16" s="20">
        <f>Q10+'Inputs'!$D$13*'Inputs'!$D$15*(IF(Q$5&lt;'Inputs'!$D$57,0,IF(Q$5&lt;='Inputs'!$D$58,'Inputs'!$D$10,IF(Q$5&gt;='Inputs'!$D$59,'Inputs'!$D$9,0))))+Q13</f>
        <v>48000.0</v>
      </c>
      <c r="R16" s="20">
        <f>R10+'Inputs'!$D$13*'Inputs'!$D$15*(IF(R$5&lt;'Inputs'!$D$57,0,IF(R$5&lt;='Inputs'!$D$58,'Inputs'!$D$10,IF(R$5&gt;='Inputs'!$D$59,'Inputs'!$D$9,0))))+R13</f>
        <v>48000.0</v>
      </c>
      <c r="S16" s="20">
        <f>S10+'Inputs'!$D$13*'Inputs'!$D$15*(IF(S$5&lt;'Inputs'!$D$57,0,IF(S$5&lt;='Inputs'!$D$58,'Inputs'!$D$10,IF(S$5&gt;='Inputs'!$D$59,'Inputs'!$D$9,0))))+S13</f>
        <v>53630.0</v>
      </c>
      <c r="T16" s="20">
        <f>T10+'Inputs'!$D$13*'Inputs'!$D$15*(IF(T$5&lt;'Inputs'!$D$57,0,IF(T$5&lt;='Inputs'!$D$58,'Inputs'!$D$10,IF(T$5&gt;='Inputs'!$D$59,'Inputs'!$D$9,0))))+T13</f>
        <v>53630.0</v>
      </c>
      <c r="U16" s="20">
        <f>U10+'Inputs'!$D$13*'Inputs'!$D$15*(IF(U$5&lt;'Inputs'!$D$57,0,IF(U$5&lt;='Inputs'!$D$58,'Inputs'!$D$10,IF(U$5&gt;='Inputs'!$D$59,'Inputs'!$D$9,0))))+U13</f>
        <v>53630.0</v>
      </c>
      <c r="V16" s="20">
        <f>V10+'Inputs'!$D$13*'Inputs'!$D$15*(IF(V$5&lt;'Inputs'!$D$57,0,IF(V$5&lt;='Inputs'!$D$58,'Inputs'!$D$10,IF(V$5&gt;='Inputs'!$D$59,'Inputs'!$D$9,0))))+V13</f>
        <v>53630.0</v>
      </c>
      <c r="W16" s="20">
        <f>W10+'Inputs'!$D$13*'Inputs'!$D$15*(IF(W$5&lt;'Inputs'!$D$57,0,IF(W$5&lt;='Inputs'!$D$58,'Inputs'!$D$10,IF(W$5&gt;='Inputs'!$D$59,'Inputs'!$D$9,0))))+W13</f>
        <v>53630.0</v>
      </c>
      <c r="X16" s="20">
        <f>X10+'Inputs'!$D$13*'Inputs'!$D$15*(IF(X$5&lt;'Inputs'!$D$57,0,IF(X$5&lt;='Inputs'!$D$58,'Inputs'!$D$10,IF(X$5&gt;='Inputs'!$D$59,'Inputs'!$D$9,0))))+X13</f>
        <v>53630.0</v>
      </c>
      <c r="Y16" s="20">
        <f>Y10+'Inputs'!$D$13*'Inputs'!$D$15*(IF(Y$5&lt;'Inputs'!$D$57,0,IF(Y$5&lt;='Inputs'!$D$58,'Inputs'!$D$10,IF(Y$5&gt;='Inputs'!$D$59,'Inputs'!$D$9,0))))+Y13</f>
        <v>53630.0</v>
      </c>
      <c r="Z16" s="20">
        <f>Z10+'Inputs'!$D$13*'Inputs'!$D$15*(IF(Z$5&lt;'Inputs'!$D$57,0,IF(Z$5&lt;='Inputs'!$D$58,'Inputs'!$D$10,IF(Z$5&gt;='Inputs'!$D$59,'Inputs'!$D$9,0))))+Z13</f>
        <v>53630.0</v>
      </c>
      <c r="AA16" s="20">
        <f>AA10+'Inputs'!$D$13*'Inputs'!$D$15*(IF(AA$5&lt;'Inputs'!$D$57,0,IF(AA$5&lt;='Inputs'!$D$58,'Inputs'!$D$10,IF(AA$5&gt;='Inputs'!$D$59,'Inputs'!$D$9,0))))+AA13</f>
        <v>53630.0</v>
      </c>
      <c r="AB16" s="20">
        <f>AB10+'Inputs'!$D$13*'Inputs'!$D$15*(IF(AB$5&lt;'Inputs'!$D$57,0,IF(AB$5&lt;='Inputs'!$D$58,'Inputs'!$D$10,IF(AB$5&gt;='Inputs'!$D$59,'Inputs'!$D$9,0))))+AB13</f>
        <v>53630.0</v>
      </c>
      <c r="AC16" s="20">
        <f>AC10+'Inputs'!$D$13*'Inputs'!$D$15*(IF(AC$5&lt;'Inputs'!$D$57,0,IF(AC$5&lt;='Inputs'!$D$58,'Inputs'!$D$10,IF(AC$5&gt;='Inputs'!$D$59,'Inputs'!$D$9,0))))+AC13</f>
        <v>53630.0</v>
      </c>
      <c r="AD16" s="20">
        <f>AD10+'Inputs'!$D$13*'Inputs'!$D$15*(IF(AD$5&lt;'Inputs'!$D$57,0,IF(AD$5&lt;='Inputs'!$D$58,'Inputs'!$D$10,IF(AD$5&gt;='Inputs'!$D$59,'Inputs'!$D$9,0))))+AD13</f>
        <v>53630.0</v>
      </c>
      <c r="AE16" s="20">
        <f>AE10+'Inputs'!$D$13*'Inputs'!$D$15*(IF(AE$5&lt;'Inputs'!$D$57,0,IF(AE$5&lt;='Inputs'!$D$58,'Inputs'!$D$10,IF(AE$5&gt;='Inputs'!$D$59,'Inputs'!$D$9,0))))+AE13</f>
        <v>53630.0</v>
      </c>
      <c r="AF16" s="20">
        <f>AF10+'Inputs'!$D$13*'Inputs'!$D$15*(IF(AF$5&lt;'Inputs'!$D$57,0,IF(AF$5&lt;='Inputs'!$D$58,'Inputs'!$D$10,IF(AF$5&gt;='Inputs'!$D$59,'Inputs'!$D$9,0))))+AF13</f>
        <v>53630.0</v>
      </c>
      <c r="AG16" s="20">
        <f>AG10+'Inputs'!$D$13*'Inputs'!$D$15*(IF(AG$5&lt;'Inputs'!$D$57,0,IF(AG$5&lt;='Inputs'!$D$58,'Inputs'!$D$10,IF(AG$5&gt;='Inputs'!$D$59,'Inputs'!$D$9,0))))+AG13</f>
        <v>53630.0</v>
      </c>
      <c r="AH16" s="20">
        <f>AH10+'Inputs'!$D$13*'Inputs'!$D$15*(IF(AH$5&lt;'Inputs'!$D$57,0,IF(AH$5&lt;='Inputs'!$D$58,'Inputs'!$D$10,IF(AH$5&gt;='Inputs'!$D$59,'Inputs'!$D$9,0))))+AH13</f>
        <v>53630.0</v>
      </c>
      <c r="AI16" s="20">
        <f>AI10+'Inputs'!$D$13*'Inputs'!$D$15*(IF(AI$5&lt;'Inputs'!$D$57,0,IF(AI$5&lt;='Inputs'!$D$58,'Inputs'!$D$10,IF(AI$5&gt;='Inputs'!$D$59,'Inputs'!$D$9,0))))+AI13</f>
        <v>53630.0</v>
      </c>
      <c r="AJ16" s="20">
        <f>AJ10+'Inputs'!$D$13*'Inputs'!$D$15*(IF(AJ$5&lt;'Inputs'!$D$57,0,IF(AJ$5&lt;='Inputs'!$D$58,'Inputs'!$D$10,IF(AJ$5&gt;='Inputs'!$D$59,'Inputs'!$D$9,0))))+AJ13</f>
        <v>53630.0</v>
      </c>
      <c r="AK16" s="20">
        <f>AK10+'Inputs'!$D$13*'Inputs'!$D$15*(IF(AK$5&lt;'Inputs'!$D$57,0,IF(AK$5&lt;='Inputs'!$D$58,'Inputs'!$D$10,IF(AK$5&gt;='Inputs'!$D$59,'Inputs'!$D$9,0))))+AK13</f>
        <v>53630.0</v>
      </c>
      <c r="AL16" s="20">
        <f>AL10+'Inputs'!$D$13*'Inputs'!$D$15*(IF(AL$5&lt;'Inputs'!$D$57,0,IF(AL$5&lt;='Inputs'!$D$58,'Inputs'!$D$10,IF(AL$5&gt;='Inputs'!$D$59,'Inputs'!$D$9,0))))+AL13</f>
        <v>53630.0</v>
      </c>
      <c r="AM16" s="20">
        <f>AM10+'Inputs'!$D$13*'Inputs'!$D$15*(IF(AM$5&lt;'Inputs'!$D$57,0,IF(AM$5&lt;='Inputs'!$D$58,'Inputs'!$D$10,IF(AM$5&gt;='Inputs'!$D$59,'Inputs'!$D$9,0))))+AM13</f>
        <v>53630.0</v>
      </c>
      <c r="AN16" s="20">
        <f>AN10+'Inputs'!$D$13*'Inputs'!$D$15*(IF(AN$5&lt;'Inputs'!$D$57,0,IF(AN$5&lt;='Inputs'!$D$58,'Inputs'!$D$10,IF(AN$5&gt;='Inputs'!$D$59,'Inputs'!$D$9,0))))+AN13</f>
        <v>53630.0</v>
      </c>
      <c r="AO16" s="20">
        <f>AO10+'Inputs'!$D$13*'Inputs'!$D$15*(IF(AO$5&lt;'Inputs'!$D$57,0,IF(AO$5&lt;='Inputs'!$D$58,'Inputs'!$D$10,IF(AO$5&gt;='Inputs'!$D$59,'Inputs'!$D$9,0))))+AO13</f>
        <v>53630.0</v>
      </c>
      <c r="AP16" s="20">
        <f>AP10+'Inputs'!$D$13*'Inputs'!$D$15*(IF(AP$5&lt;'Inputs'!$D$57,0,IF(AP$5&lt;='Inputs'!$D$58,'Inputs'!$D$10,IF(AP$5&gt;='Inputs'!$D$59,'Inputs'!$D$9,0))))+AP13</f>
        <v>53630.0</v>
      </c>
      <c r="AQ16" s="20">
        <f>AQ10+'Inputs'!$D$13*'Inputs'!$D$15*(IF(AQ$5&lt;'Inputs'!$D$57,0,IF(AQ$5&lt;='Inputs'!$D$58,'Inputs'!$D$10,IF(AQ$5&gt;='Inputs'!$D$59,'Inputs'!$D$9,0))))+AQ13</f>
        <v>53630.0</v>
      </c>
      <c r="AR16" s="20">
        <f>AR10+'Inputs'!$D$13*'Inputs'!$D$15*(IF(AR$5&lt;'Inputs'!$D$57,0,IF(AR$5&lt;='Inputs'!$D$58,'Inputs'!$D$10,IF(AR$5&gt;='Inputs'!$D$59,'Inputs'!$D$9,0))))+AR13</f>
        <v>53630.0</v>
      </c>
      <c r="AS16" s="20">
        <f>AS10+'Inputs'!$D$13*'Inputs'!$D$15*(IF(AS$5&lt;'Inputs'!$D$57,0,IF(AS$5&lt;='Inputs'!$D$58,'Inputs'!$D$10,IF(AS$5&gt;='Inputs'!$D$59,'Inputs'!$D$9,0))))+AS13</f>
        <v>53630.0</v>
      </c>
      <c r="AT16" s="20">
        <f>AT10+'Inputs'!$D$13*'Inputs'!$D$15*(IF(AT$5&lt;'Inputs'!$D$57,0,IF(AT$5&lt;='Inputs'!$D$58,'Inputs'!$D$10,IF(AT$5&gt;='Inputs'!$D$59,'Inputs'!$D$9,0))))+AT13</f>
        <v>53630.0</v>
      </c>
      <c r="AU16" s="20">
        <f>AU10+'Inputs'!$D$13*'Inputs'!$D$15*(IF(AU$5&lt;'Inputs'!$D$57,0,IF(AU$5&lt;='Inputs'!$D$58,'Inputs'!$D$10,IF(AU$5&gt;='Inputs'!$D$59,'Inputs'!$D$9,0))))+AU13</f>
        <v>53630.0</v>
      </c>
    </row>
    <row r="17" spans="1:48">
      <c r="A17" s="3" t="s">
        <v>195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>
      <c r="A18" s="5" t="s">
        <v>218</v>
      </c>
      <c r="B18" s="12" t="s">
        <v>49</v>
      </c>
      <c r="C18" s="14" t="s">
        <v>219</v>
      </c>
      <c r="D18" s="21">
        <f>D16*'Inputs'!$D$27</f>
        <v>1368.2724</v>
      </c>
      <c r="E18" s="21">
        <f>E16*'Inputs'!$D$27</f>
        <v>1368.2724</v>
      </c>
      <c r="F18" s="21">
        <f>F16*'Inputs'!$D$27</f>
        <v>1368.2724</v>
      </c>
      <c r="G18" s="21">
        <f>G16*'Inputs'!$D$27</f>
        <v>1131.7724</v>
      </c>
      <c r="H18" s="21">
        <f>H16*'Inputs'!$D$27</f>
        <v>1131.7724</v>
      </c>
      <c r="I18" s="21">
        <f>I16*'Inputs'!$D$27</f>
        <v>1131.7724</v>
      </c>
      <c r="J18" s="21">
        <f>J16*'Inputs'!$D$27</f>
        <v>1131.7724</v>
      </c>
      <c r="K18" s="21">
        <f>K16*'Inputs'!$D$27</f>
        <v>1131.7724</v>
      </c>
      <c r="L18" s="21">
        <f>L16*'Inputs'!$D$27</f>
        <v>4431.65206</v>
      </c>
      <c r="M18" s="21">
        <f>M16*'Inputs'!$D$27</f>
        <v>5845.8862</v>
      </c>
      <c r="N18" s="21">
        <f>N16*'Inputs'!$D$27</f>
        <v>7260.1203399999995</v>
      </c>
      <c r="O18" s="21">
        <f>O16*'Inputs'!$D$27</f>
        <v>8674.35448</v>
      </c>
      <c r="P18" s="21">
        <f>P16*'Inputs'!$D$27</f>
        <v>9617.17724</v>
      </c>
      <c r="Q18" s="21">
        <f>Q16*'Inputs'!$D$27</f>
        <v>10560.0</v>
      </c>
      <c r="R18" s="21">
        <f>R16*'Inputs'!$D$27</f>
        <v>10560.0</v>
      </c>
      <c r="S18" s="21">
        <f>S16*'Inputs'!$D$27</f>
        <v>11798.6</v>
      </c>
      <c r="T18" s="21">
        <f>T16*'Inputs'!$D$27</f>
        <v>11798.6</v>
      </c>
      <c r="U18" s="21">
        <f>U16*'Inputs'!$D$27</f>
        <v>11798.6</v>
      </c>
      <c r="V18" s="21">
        <f>V16*'Inputs'!$D$27</f>
        <v>11798.6</v>
      </c>
      <c r="W18" s="21">
        <f>W16*'Inputs'!$D$27</f>
        <v>11798.6</v>
      </c>
      <c r="X18" s="21">
        <f>X16*'Inputs'!$D$27</f>
        <v>11798.6</v>
      </c>
      <c r="Y18" s="21">
        <f>Y16*'Inputs'!$D$27</f>
        <v>11798.6</v>
      </c>
      <c r="Z18" s="21">
        <f>Z16*'Inputs'!$D$27</f>
        <v>11798.6</v>
      </c>
      <c r="AA18" s="21">
        <f>AA16*'Inputs'!$D$27</f>
        <v>11798.6</v>
      </c>
      <c r="AB18" s="21">
        <f>AB16*'Inputs'!$D$27</f>
        <v>11798.6</v>
      </c>
      <c r="AC18" s="21">
        <f>AC16*'Inputs'!$D$27</f>
        <v>11798.6</v>
      </c>
      <c r="AD18" s="21">
        <f>AD16*'Inputs'!$D$27</f>
        <v>11798.6</v>
      </c>
      <c r="AE18" s="21">
        <f>AE16*'Inputs'!$D$27</f>
        <v>11798.6</v>
      </c>
      <c r="AF18" s="21">
        <f>AF16*'Inputs'!$D$27</f>
        <v>11798.6</v>
      </c>
      <c r="AG18" s="21">
        <f>AG16*'Inputs'!$D$27</f>
        <v>11798.6</v>
      </c>
      <c r="AH18" s="21">
        <f>AH16*'Inputs'!$D$27</f>
        <v>11798.6</v>
      </c>
      <c r="AI18" s="21">
        <f>AI16*'Inputs'!$D$27</f>
        <v>11798.6</v>
      </c>
      <c r="AJ18" s="21">
        <f>AJ16*'Inputs'!$D$27</f>
        <v>11798.6</v>
      </c>
      <c r="AK18" s="21">
        <f>AK16*'Inputs'!$D$27</f>
        <v>11798.6</v>
      </c>
      <c r="AL18" s="21">
        <f>AL16*'Inputs'!$D$27</f>
        <v>11798.6</v>
      </c>
      <c r="AM18" s="21">
        <f>AM16*'Inputs'!$D$27</f>
        <v>11798.6</v>
      </c>
      <c r="AN18" s="21">
        <f>AN16*'Inputs'!$D$27</f>
        <v>11798.6</v>
      </c>
      <c r="AO18" s="21">
        <f>AO16*'Inputs'!$D$27</f>
        <v>11798.6</v>
      </c>
      <c r="AP18" s="21">
        <f>AP16*'Inputs'!$D$27</f>
        <v>11798.6</v>
      </c>
      <c r="AQ18" s="21">
        <f>AQ16*'Inputs'!$D$27</f>
        <v>11798.6</v>
      </c>
      <c r="AR18" s="21">
        <f>AR16*'Inputs'!$D$27</f>
        <v>11798.6</v>
      </c>
      <c r="AS18" s="21">
        <f>AS16*'Inputs'!$D$27</f>
        <v>11798.6</v>
      </c>
      <c r="AT18" s="21">
        <f>AT16*'Inputs'!$D$27</f>
        <v>11798.6</v>
      </c>
      <c r="AU18" s="21">
        <f>AU16*'Inputs'!$D$27</f>
        <v>11798.6</v>
      </c>
    </row>
    <row r="19" spans="1:48">
      <c r="A19" s="5" t="s">
        <v>220</v>
      </c>
      <c r="B19" s="12" t="s">
        <v>221</v>
      </c>
      <c r="C19" s="14" t="s">
        <v>222</v>
      </c>
      <c r="D19" s="22">
        <f>IFERROR(D18/D16,0)</f>
        <v>0.22</v>
      </c>
      <c r="E19" s="22">
        <f>IFERROR(E18/E16,0)</f>
        <v>0.22</v>
      </c>
      <c r="F19" s="22">
        <f>IFERROR(F18/F16,0)</f>
        <v>0.22</v>
      </c>
      <c r="G19" s="22">
        <f>IFERROR(G18/G16,0)</f>
        <v>0.22</v>
      </c>
      <c r="H19" s="22">
        <f>IFERROR(H18/H16,0)</f>
        <v>0.22</v>
      </c>
      <c r="I19" s="22">
        <f>IFERROR(I18/I16,0)</f>
        <v>0.22</v>
      </c>
      <c r="J19" s="22">
        <f>IFERROR(J18/J16,0)</f>
        <v>0.22</v>
      </c>
      <c r="K19" s="22">
        <f>IFERROR(K18/K16,0)</f>
        <v>0.22</v>
      </c>
      <c r="L19" s="22">
        <f>IFERROR(L18/L16,0)</f>
        <v>0.22</v>
      </c>
      <c r="M19" s="22">
        <f>IFERROR(M18/M16,0)</f>
        <v>0.22</v>
      </c>
      <c r="N19" s="22">
        <f>IFERROR(N18/N16,0)</f>
        <v>0.22</v>
      </c>
      <c r="O19" s="22">
        <f>IFERROR(O18/O16,0)</f>
        <v>0.22</v>
      </c>
      <c r="P19" s="22">
        <f>IFERROR(P18/P16,0)</f>
        <v>0.22</v>
      </c>
      <c r="Q19" s="22">
        <f>IFERROR(Q18/Q16,0)</f>
        <v>0.22</v>
      </c>
      <c r="R19" s="22">
        <f>IFERROR(R18/R16,0)</f>
        <v>0.22</v>
      </c>
      <c r="S19" s="22">
        <f>IFERROR(S18/S16,0)</f>
        <v>0.22</v>
      </c>
      <c r="T19" s="22">
        <f>IFERROR(T18/T16,0)</f>
        <v>0.22</v>
      </c>
      <c r="U19" s="22">
        <f>IFERROR(U18/U16,0)</f>
        <v>0.22</v>
      </c>
      <c r="V19" s="22">
        <f>IFERROR(V18/V16,0)</f>
        <v>0.22</v>
      </c>
      <c r="W19" s="22">
        <f>IFERROR(W18/W16,0)</f>
        <v>0.22</v>
      </c>
      <c r="X19" s="22">
        <f>IFERROR(X18/X16,0)</f>
        <v>0.22</v>
      </c>
      <c r="Y19" s="22">
        <f>IFERROR(Y18/Y16,0)</f>
        <v>0.22</v>
      </c>
      <c r="Z19" s="22">
        <f>IFERROR(Z18/Z16,0)</f>
        <v>0.22</v>
      </c>
      <c r="AA19" s="22">
        <f>IFERROR(AA18/AA16,0)</f>
        <v>0.22</v>
      </c>
      <c r="AB19" s="22">
        <f>IFERROR(AB18/AB16,0)</f>
        <v>0.22</v>
      </c>
      <c r="AC19" s="22">
        <f>IFERROR(AC18/AC16,0)</f>
        <v>0.22</v>
      </c>
      <c r="AD19" s="22">
        <f>IFERROR(AD18/AD16,0)</f>
        <v>0.22</v>
      </c>
      <c r="AE19" s="22">
        <f>IFERROR(AE18/AE16,0)</f>
        <v>0.22</v>
      </c>
      <c r="AF19" s="22">
        <f>IFERROR(AF18/AF16,0)</f>
        <v>0.22</v>
      </c>
      <c r="AG19" s="22">
        <f>IFERROR(AG18/AG16,0)</f>
        <v>0.22</v>
      </c>
      <c r="AH19" s="22">
        <f>IFERROR(AH18/AH16,0)</f>
        <v>0.22</v>
      </c>
      <c r="AI19" s="22">
        <f>IFERROR(AI18/AI16,0)</f>
        <v>0.22</v>
      </c>
      <c r="AJ19" s="22">
        <f>IFERROR(AJ18/AJ16,0)</f>
        <v>0.22</v>
      </c>
      <c r="AK19" s="22">
        <f>IFERROR(AK18/AK16,0)</f>
        <v>0.22</v>
      </c>
      <c r="AL19" s="22">
        <f>IFERROR(AL18/AL16,0)</f>
        <v>0.22</v>
      </c>
      <c r="AM19" s="22">
        <f>IFERROR(AM18/AM16,0)</f>
        <v>0.22</v>
      </c>
      <c r="AN19" s="22">
        <f>IFERROR(AN18/AN16,0)</f>
        <v>0.22</v>
      </c>
      <c r="AO19" s="22">
        <f>IFERROR(AO18/AO16,0)</f>
        <v>0.22</v>
      </c>
      <c r="AP19" s="22">
        <f>IFERROR(AP18/AP16,0)</f>
        <v>0.22</v>
      </c>
      <c r="AQ19" s="22">
        <f>IFERROR(AQ18/AQ16,0)</f>
        <v>0.22</v>
      </c>
      <c r="AR19" s="22">
        <f>IFERROR(AR18/AR16,0)</f>
        <v>0.22</v>
      </c>
      <c r="AS19" s="22">
        <f>IFERROR(AS18/AS16,0)</f>
        <v>0.22</v>
      </c>
      <c r="AT19" s="22">
        <f>IFERROR(AT18/AT16,0)</f>
        <v>0.22</v>
      </c>
      <c r="AU19" s="22">
        <f>IFERROR(AU18/AU16,0)</f>
        <v>0.22</v>
      </c>
    </row>
    <row r="20" spans="1:48">
      <c r="A20" s="5" t="s">
        <v>223</v>
      </c>
      <c r="B20" s="12" t="s">
        <v>49</v>
      </c>
      <c r="C20" s="14" t="s">
        <v>224</v>
      </c>
      <c r="D20" s="21">
        <f>D11*'Inputs'!$D$12</f>
        <v>450.0</v>
      </c>
      <c r="E20" s="21">
        <f>E11*'Inputs'!$D$12</f>
        <v>450.0</v>
      </c>
      <c r="F20" s="21">
        <f>F11*'Inputs'!$D$12</f>
        <v>450.0</v>
      </c>
      <c r="G20" s="21">
        <f>G11*'Inputs'!$D$12</f>
        <v>0.0</v>
      </c>
      <c r="H20" s="21">
        <f>H11*'Inputs'!$D$12</f>
        <v>0.0</v>
      </c>
      <c r="I20" s="21">
        <f>I11*'Inputs'!$D$12</f>
        <v>0.0</v>
      </c>
      <c r="J20" s="21">
        <f>J11*'Inputs'!$D$12</f>
        <v>0.0</v>
      </c>
      <c r="K20" s="21">
        <f>K11*'Inputs'!$D$12</f>
        <v>0.0</v>
      </c>
      <c r="L20" s="21">
        <f>L11*'Inputs'!$D$12</f>
        <v>0.0</v>
      </c>
      <c r="M20" s="21">
        <f>M11*'Inputs'!$D$12</f>
        <v>0.0</v>
      </c>
      <c r="N20" s="21">
        <f>N11*'Inputs'!$D$12</f>
        <v>0.0</v>
      </c>
      <c r="O20" s="21">
        <f>O11*'Inputs'!$D$12</f>
        <v>0.0</v>
      </c>
      <c r="P20" s="21">
        <f>P11*'Inputs'!$D$12</f>
        <v>0.0</v>
      </c>
      <c r="Q20" s="21">
        <f>Q11*'Inputs'!$D$12</f>
        <v>0.0</v>
      </c>
      <c r="R20" s="21">
        <f>R11*'Inputs'!$D$12</f>
        <v>0.0</v>
      </c>
      <c r="S20" s="21">
        <f>S11*'Inputs'!$D$12</f>
        <v>0.0</v>
      </c>
      <c r="T20" s="21">
        <f>T11*'Inputs'!$D$12</f>
        <v>0.0</v>
      </c>
      <c r="U20" s="21">
        <f>U11*'Inputs'!$D$12</f>
        <v>0.0</v>
      </c>
      <c r="V20" s="21">
        <f>V11*'Inputs'!$D$12</f>
        <v>0.0</v>
      </c>
      <c r="W20" s="21">
        <f>W11*'Inputs'!$D$12</f>
        <v>0.0</v>
      </c>
      <c r="X20" s="21">
        <f>X11*'Inputs'!$D$12</f>
        <v>0.0</v>
      </c>
      <c r="Y20" s="21">
        <f>Y11*'Inputs'!$D$12</f>
        <v>0.0</v>
      </c>
      <c r="Z20" s="21">
        <f>Z11*'Inputs'!$D$12</f>
        <v>0.0</v>
      </c>
      <c r="AA20" s="21">
        <f>AA11*'Inputs'!$D$12</f>
        <v>0.0</v>
      </c>
      <c r="AB20" s="21">
        <f>AB11*'Inputs'!$D$12</f>
        <v>0.0</v>
      </c>
      <c r="AC20" s="21">
        <f>AC11*'Inputs'!$D$12</f>
        <v>0.0</v>
      </c>
      <c r="AD20" s="21">
        <f>AD11*'Inputs'!$D$12</f>
        <v>0.0</v>
      </c>
      <c r="AE20" s="21">
        <f>AE11*'Inputs'!$D$12</f>
        <v>0.0</v>
      </c>
      <c r="AF20" s="21">
        <f>AF11*'Inputs'!$D$12</f>
        <v>0.0</v>
      </c>
      <c r="AG20" s="21">
        <f>AG11*'Inputs'!$D$12</f>
        <v>0.0</v>
      </c>
      <c r="AH20" s="21">
        <f>AH11*'Inputs'!$D$12</f>
        <v>0.0</v>
      </c>
      <c r="AI20" s="21">
        <f>AI11*'Inputs'!$D$12</f>
        <v>0.0</v>
      </c>
      <c r="AJ20" s="21">
        <f>AJ11*'Inputs'!$D$12</f>
        <v>0.0</v>
      </c>
      <c r="AK20" s="21">
        <f>AK11*'Inputs'!$D$12</f>
        <v>0.0</v>
      </c>
      <c r="AL20" s="21">
        <f>AL11*'Inputs'!$D$12</f>
        <v>0.0</v>
      </c>
      <c r="AM20" s="21">
        <f>AM11*'Inputs'!$D$12</f>
        <v>0.0</v>
      </c>
      <c r="AN20" s="21">
        <f>AN11*'Inputs'!$D$12</f>
        <v>0.0</v>
      </c>
      <c r="AO20" s="21">
        <f>AO11*'Inputs'!$D$12</f>
        <v>0.0</v>
      </c>
      <c r="AP20" s="21">
        <f>AP11*'Inputs'!$D$12</f>
        <v>0.0</v>
      </c>
      <c r="AQ20" s="21">
        <f>AQ11*'Inputs'!$D$12</f>
        <v>0.0</v>
      </c>
      <c r="AR20" s="21">
        <f>AR11*'Inputs'!$D$12</f>
        <v>0.0</v>
      </c>
      <c r="AS20" s="21">
        <f>AS11*'Inputs'!$D$12</f>
        <v>0.0</v>
      </c>
      <c r="AT20" s="21">
        <f>AT11*'Inputs'!$D$12</f>
        <v>0.0</v>
      </c>
      <c r="AU20" s="21">
        <f>AU11*'Inputs'!$D$12</f>
        <v>0.0</v>
      </c>
    </row>
    <row r="21" spans="1:48">
      <c r="A21" s="5" t="s">
        <v>125</v>
      </c>
      <c r="B21" s="12" t="s">
        <v>49</v>
      </c>
      <c r="C21" s="14" t="s">
        <v>225</v>
      </c>
      <c r="D21" s="21">
        <f>D16*'Inputs'!$D$37</f>
        <v>248.7768</v>
      </c>
      <c r="E21" s="21">
        <f>E16*'Inputs'!$D$37</f>
        <v>248.7768</v>
      </c>
      <c r="F21" s="21">
        <f>F16*'Inputs'!$D$37</f>
        <v>248.7768</v>
      </c>
      <c r="G21" s="21">
        <f>G16*'Inputs'!$D$37</f>
        <v>205.7768</v>
      </c>
      <c r="H21" s="21">
        <f>H16*'Inputs'!$D$37</f>
        <v>205.7768</v>
      </c>
      <c r="I21" s="21">
        <f>I16*'Inputs'!$D$37</f>
        <v>205.7768</v>
      </c>
      <c r="J21" s="21">
        <f>J16*'Inputs'!$D$37</f>
        <v>205.7768</v>
      </c>
      <c r="K21" s="21">
        <f>K16*'Inputs'!$D$37</f>
        <v>205.7768</v>
      </c>
      <c r="L21" s="21">
        <f>L16*'Inputs'!$D$37</f>
        <v>805.75492</v>
      </c>
      <c r="M21" s="21">
        <f>M16*'Inputs'!$D$37</f>
        <v>1062.8884</v>
      </c>
      <c r="N21" s="21">
        <f>N16*'Inputs'!$D$37</f>
        <v>1320.02188</v>
      </c>
      <c r="O21" s="21">
        <f>O16*'Inputs'!$D$37</f>
        <v>1577.15536</v>
      </c>
      <c r="P21" s="21">
        <f>P16*'Inputs'!$D$37</f>
        <v>1748.57768</v>
      </c>
      <c r="Q21" s="21">
        <f>Q16*'Inputs'!$D$37</f>
        <v>1920.0</v>
      </c>
      <c r="R21" s="21">
        <f>R16*'Inputs'!$D$37</f>
        <v>1920.0</v>
      </c>
      <c r="S21" s="21">
        <f>S16*'Inputs'!$D$37</f>
        <v>2145.2</v>
      </c>
      <c r="T21" s="21">
        <f>T16*'Inputs'!$D$37</f>
        <v>2145.2</v>
      </c>
      <c r="U21" s="21">
        <f>U16*'Inputs'!$D$37</f>
        <v>2145.2</v>
      </c>
      <c r="V21" s="21">
        <f>V16*'Inputs'!$D$37</f>
        <v>2145.2</v>
      </c>
      <c r="W21" s="21">
        <f>W16*'Inputs'!$D$37</f>
        <v>2145.2</v>
      </c>
      <c r="X21" s="21">
        <f>X16*'Inputs'!$D$37</f>
        <v>2145.2</v>
      </c>
      <c r="Y21" s="21">
        <f>Y16*'Inputs'!$D$37</f>
        <v>2145.2</v>
      </c>
      <c r="Z21" s="21">
        <f>Z16*'Inputs'!$D$37</f>
        <v>2145.2</v>
      </c>
      <c r="AA21" s="21">
        <f>AA16*'Inputs'!$D$37</f>
        <v>2145.2</v>
      </c>
      <c r="AB21" s="21">
        <f>AB16*'Inputs'!$D$37</f>
        <v>2145.2</v>
      </c>
      <c r="AC21" s="21">
        <f>AC16*'Inputs'!$D$37</f>
        <v>2145.2</v>
      </c>
      <c r="AD21" s="21">
        <f>AD16*'Inputs'!$D$37</f>
        <v>2145.2</v>
      </c>
      <c r="AE21" s="21">
        <f>AE16*'Inputs'!$D$37</f>
        <v>2145.2</v>
      </c>
      <c r="AF21" s="21">
        <f>AF16*'Inputs'!$D$37</f>
        <v>2145.2</v>
      </c>
      <c r="AG21" s="21">
        <f>AG16*'Inputs'!$D$37</f>
        <v>2145.2</v>
      </c>
      <c r="AH21" s="21">
        <f>AH16*'Inputs'!$D$37</f>
        <v>2145.2</v>
      </c>
      <c r="AI21" s="21">
        <f>AI16*'Inputs'!$D$37</f>
        <v>2145.2</v>
      </c>
      <c r="AJ21" s="21">
        <f>AJ16*'Inputs'!$D$37</f>
        <v>2145.2</v>
      </c>
      <c r="AK21" s="21">
        <f>AK16*'Inputs'!$D$37</f>
        <v>2145.2</v>
      </c>
      <c r="AL21" s="21">
        <f>AL16*'Inputs'!$D$37</f>
        <v>2145.2</v>
      </c>
      <c r="AM21" s="21">
        <f>AM16*'Inputs'!$D$37</f>
        <v>2145.2</v>
      </c>
      <c r="AN21" s="21">
        <f>AN16*'Inputs'!$D$37</f>
        <v>2145.2</v>
      </c>
      <c r="AO21" s="21">
        <f>AO16*'Inputs'!$D$37</f>
        <v>2145.2</v>
      </c>
      <c r="AP21" s="21">
        <f>AP16*'Inputs'!$D$37</f>
        <v>2145.2</v>
      </c>
      <c r="AQ21" s="21">
        <f>AQ16*'Inputs'!$D$37</f>
        <v>2145.2</v>
      </c>
      <c r="AR21" s="21">
        <f>AR16*'Inputs'!$D$37</f>
        <v>2145.2</v>
      </c>
      <c r="AS21" s="21">
        <f>AS16*'Inputs'!$D$37</f>
        <v>2145.2</v>
      </c>
      <c r="AT21" s="21">
        <f>AT16*'Inputs'!$D$37</f>
        <v>2145.2</v>
      </c>
      <c r="AU21" s="21">
        <f>AU16*'Inputs'!$D$37</f>
        <v>2145.2</v>
      </c>
    </row>
    <row r="22" spans="1:48">
      <c r="A22" s="5" t="s">
        <v>226</v>
      </c>
      <c r="B22" s="12" t="s">
        <v>49</v>
      </c>
      <c r="C22" s="14" t="s">
        <v>227</v>
      </c>
      <c r="D22" s="21">
        <f>D15*(IF(D$5&lt;'Inputs'!$D$23,'Inputs'!$D$28,IF(D$5&lt;EDATE('Inputs'!$D$23,6),'Inputs'!$D$29,'Inputs'!$D$30)))</f>
        <v>1259.163</v>
      </c>
      <c r="E22" s="21">
        <f>E15*(IF(E$5&lt;'Inputs'!$D$23,'Inputs'!$D$28,IF(E$5&lt;EDATE('Inputs'!$D$23,6),'Inputs'!$D$29,'Inputs'!$D$30)))</f>
        <v>1259.163</v>
      </c>
      <c r="F22" s="21">
        <f>F15*(IF(F$5&lt;'Inputs'!$D$23,'Inputs'!$D$28,IF(F$5&lt;EDATE('Inputs'!$D$23,6),'Inputs'!$D$29,'Inputs'!$D$30)))</f>
        <v>1259.163</v>
      </c>
      <c r="G22" s="21">
        <f>G15*(IF(G$5&lt;'Inputs'!$D$23,'Inputs'!$D$28,IF(G$5&lt;EDATE('Inputs'!$D$23,6),'Inputs'!$D$29,'Inputs'!$D$30)))</f>
        <v>771.663</v>
      </c>
      <c r="H22" s="21">
        <f>H15*(IF(H$5&lt;'Inputs'!$D$23,'Inputs'!$D$28,IF(H$5&lt;EDATE('Inputs'!$D$23,6),'Inputs'!$D$29,'Inputs'!$D$30)))</f>
        <v>771.663</v>
      </c>
      <c r="I22" s="21">
        <f>I15*(IF(I$5&lt;'Inputs'!$D$23,'Inputs'!$D$28,IF(I$5&lt;EDATE('Inputs'!$D$23,6),'Inputs'!$D$29,'Inputs'!$D$30)))</f>
        <v>771.663</v>
      </c>
      <c r="J22" s="21">
        <f>J15*(IF(J$5&lt;'Inputs'!$D$23,'Inputs'!$D$28,IF(J$5&lt;EDATE('Inputs'!$D$23,6),'Inputs'!$D$29,'Inputs'!$D$30)))</f>
        <v>771.663</v>
      </c>
      <c r="K22" s="21">
        <f>K15*(IF(K$5&lt;'Inputs'!$D$23,'Inputs'!$D$28,IF(K$5&lt;EDATE('Inputs'!$D$23,6),'Inputs'!$D$29,'Inputs'!$D$30)))</f>
        <v>771.663</v>
      </c>
      <c r="L22" s="21">
        <f>L15*(IF(L$5&lt;'Inputs'!$D$23,'Inputs'!$D$28,IF(L$5&lt;EDATE('Inputs'!$D$23,6),'Inputs'!$D$29,'Inputs'!$D$30)))</f>
        <v>4431.65206</v>
      </c>
      <c r="M22" s="21">
        <f>M15*(IF(M$5&lt;'Inputs'!$D$23,'Inputs'!$D$28,IF(M$5&lt;EDATE('Inputs'!$D$23,6),'Inputs'!$D$29,'Inputs'!$D$30)))</f>
        <v>5845.8862</v>
      </c>
      <c r="N22" s="21">
        <f>N15*(IF(N$5&lt;'Inputs'!$D$23,'Inputs'!$D$28,IF(N$5&lt;EDATE('Inputs'!$D$23,6),'Inputs'!$D$29,'Inputs'!$D$30)))</f>
        <v>7260.1203399999995</v>
      </c>
      <c r="O22" s="21">
        <f>O15*(IF(O$5&lt;'Inputs'!$D$23,'Inputs'!$D$28,IF(O$5&lt;EDATE('Inputs'!$D$23,6),'Inputs'!$D$29,'Inputs'!$D$30)))</f>
        <v>8674.35448</v>
      </c>
      <c r="P22" s="21">
        <f>P15*(IF(P$5&lt;'Inputs'!$D$23,'Inputs'!$D$28,IF(P$5&lt;EDATE('Inputs'!$D$23,6),'Inputs'!$D$29,'Inputs'!$D$30)))</f>
        <v>9617.17724</v>
      </c>
      <c r="Q22" s="21">
        <f>Q15*(IF(Q$5&lt;'Inputs'!$D$23,'Inputs'!$D$28,IF(Q$5&lt;EDATE('Inputs'!$D$23,6),'Inputs'!$D$29,'Inputs'!$D$30)))</f>
        <v>10560.0</v>
      </c>
      <c r="R22" s="21">
        <f>R15*(IF(R$5&lt;'Inputs'!$D$23,'Inputs'!$D$28,IF(R$5&lt;EDATE('Inputs'!$D$23,6),'Inputs'!$D$29,'Inputs'!$D$30)))</f>
        <v>9600.0</v>
      </c>
      <c r="S22" s="21">
        <f>S15*(IF(S$5&lt;'Inputs'!$D$23,'Inputs'!$D$28,IF(S$5&lt;EDATE('Inputs'!$D$23,6),'Inputs'!$D$29,'Inputs'!$D$30)))</f>
        <v>10726.0</v>
      </c>
      <c r="T22" s="21">
        <f>T15*(IF(T$5&lt;'Inputs'!$D$23,'Inputs'!$D$28,IF(T$5&lt;EDATE('Inputs'!$D$23,6),'Inputs'!$D$29,'Inputs'!$D$30)))</f>
        <v>10726.0</v>
      </c>
      <c r="U22" s="21">
        <f>U15*(IF(U$5&lt;'Inputs'!$D$23,'Inputs'!$D$28,IF(U$5&lt;EDATE('Inputs'!$D$23,6),'Inputs'!$D$29,'Inputs'!$D$30)))</f>
        <v>10726.0</v>
      </c>
      <c r="V22" s="21">
        <f>V15*(IF(V$5&lt;'Inputs'!$D$23,'Inputs'!$D$28,IF(V$5&lt;EDATE('Inputs'!$D$23,6),'Inputs'!$D$29,'Inputs'!$D$30)))</f>
        <v>10726.0</v>
      </c>
      <c r="W22" s="21">
        <f>W15*(IF(W$5&lt;'Inputs'!$D$23,'Inputs'!$D$28,IF(W$5&lt;EDATE('Inputs'!$D$23,6),'Inputs'!$D$29,'Inputs'!$D$30)))</f>
        <v>10726.0</v>
      </c>
      <c r="X22" s="21">
        <f>X15*(IF(X$5&lt;'Inputs'!$D$23,'Inputs'!$D$28,IF(X$5&lt;EDATE('Inputs'!$D$23,6),'Inputs'!$D$29,'Inputs'!$D$30)))</f>
        <v>10726.0</v>
      </c>
      <c r="Y22" s="21">
        <f>Y15*(IF(Y$5&lt;'Inputs'!$D$23,'Inputs'!$D$28,IF(Y$5&lt;EDATE('Inputs'!$D$23,6),'Inputs'!$D$29,'Inputs'!$D$30)))</f>
        <v>10726.0</v>
      </c>
      <c r="Z22" s="21">
        <f>Z15*(IF(Z$5&lt;'Inputs'!$D$23,'Inputs'!$D$28,IF(Z$5&lt;EDATE('Inputs'!$D$23,6),'Inputs'!$D$29,'Inputs'!$D$30)))</f>
        <v>10726.0</v>
      </c>
      <c r="AA22" s="21">
        <f>AA15*(IF(AA$5&lt;'Inputs'!$D$23,'Inputs'!$D$28,IF(AA$5&lt;EDATE('Inputs'!$D$23,6),'Inputs'!$D$29,'Inputs'!$D$30)))</f>
        <v>10726.0</v>
      </c>
      <c r="AB22" s="21">
        <f>AB15*(IF(AB$5&lt;'Inputs'!$D$23,'Inputs'!$D$28,IF(AB$5&lt;EDATE('Inputs'!$D$23,6),'Inputs'!$D$29,'Inputs'!$D$30)))</f>
        <v>10726.0</v>
      </c>
      <c r="AC22" s="21">
        <f>AC15*(IF(AC$5&lt;'Inputs'!$D$23,'Inputs'!$D$28,IF(AC$5&lt;EDATE('Inputs'!$D$23,6),'Inputs'!$D$29,'Inputs'!$D$30)))</f>
        <v>10726.0</v>
      </c>
      <c r="AD22" s="21">
        <f>AD15*(IF(AD$5&lt;'Inputs'!$D$23,'Inputs'!$D$28,IF(AD$5&lt;EDATE('Inputs'!$D$23,6),'Inputs'!$D$29,'Inputs'!$D$30)))</f>
        <v>10726.0</v>
      </c>
      <c r="AE22" s="21">
        <f>AE15*(IF(AE$5&lt;'Inputs'!$D$23,'Inputs'!$D$28,IF(AE$5&lt;EDATE('Inputs'!$D$23,6),'Inputs'!$D$29,'Inputs'!$D$30)))</f>
        <v>10726.0</v>
      </c>
      <c r="AF22" s="21">
        <f>AF15*(IF(AF$5&lt;'Inputs'!$D$23,'Inputs'!$D$28,IF(AF$5&lt;EDATE('Inputs'!$D$23,6),'Inputs'!$D$29,'Inputs'!$D$30)))</f>
        <v>10726.0</v>
      </c>
      <c r="AG22" s="21">
        <f>AG15*(IF(AG$5&lt;'Inputs'!$D$23,'Inputs'!$D$28,IF(AG$5&lt;EDATE('Inputs'!$D$23,6),'Inputs'!$D$29,'Inputs'!$D$30)))</f>
        <v>10726.0</v>
      </c>
      <c r="AH22" s="21">
        <f>AH15*(IF(AH$5&lt;'Inputs'!$D$23,'Inputs'!$D$28,IF(AH$5&lt;EDATE('Inputs'!$D$23,6),'Inputs'!$D$29,'Inputs'!$D$30)))</f>
        <v>10726.0</v>
      </c>
      <c r="AI22" s="21">
        <f>AI15*(IF(AI$5&lt;'Inputs'!$D$23,'Inputs'!$D$28,IF(AI$5&lt;EDATE('Inputs'!$D$23,6),'Inputs'!$D$29,'Inputs'!$D$30)))</f>
        <v>10726.0</v>
      </c>
      <c r="AJ22" s="21">
        <f>AJ15*(IF(AJ$5&lt;'Inputs'!$D$23,'Inputs'!$D$28,IF(AJ$5&lt;EDATE('Inputs'!$D$23,6),'Inputs'!$D$29,'Inputs'!$D$30)))</f>
        <v>10726.0</v>
      </c>
      <c r="AK22" s="21">
        <f>AK15*(IF(AK$5&lt;'Inputs'!$D$23,'Inputs'!$D$28,IF(AK$5&lt;EDATE('Inputs'!$D$23,6),'Inputs'!$D$29,'Inputs'!$D$30)))</f>
        <v>10726.0</v>
      </c>
      <c r="AL22" s="21">
        <f>AL15*(IF(AL$5&lt;'Inputs'!$D$23,'Inputs'!$D$28,IF(AL$5&lt;EDATE('Inputs'!$D$23,6),'Inputs'!$D$29,'Inputs'!$D$30)))</f>
        <v>10726.0</v>
      </c>
      <c r="AM22" s="21">
        <f>AM15*(IF(AM$5&lt;'Inputs'!$D$23,'Inputs'!$D$28,IF(AM$5&lt;EDATE('Inputs'!$D$23,6),'Inputs'!$D$29,'Inputs'!$D$30)))</f>
        <v>10726.0</v>
      </c>
      <c r="AN22" s="21">
        <f>AN15*(IF(AN$5&lt;'Inputs'!$D$23,'Inputs'!$D$28,IF(AN$5&lt;EDATE('Inputs'!$D$23,6),'Inputs'!$D$29,'Inputs'!$D$30)))</f>
        <v>10726.0</v>
      </c>
      <c r="AO22" s="21">
        <f>AO15*(IF(AO$5&lt;'Inputs'!$D$23,'Inputs'!$D$28,IF(AO$5&lt;EDATE('Inputs'!$D$23,6),'Inputs'!$D$29,'Inputs'!$D$30)))</f>
        <v>10726.0</v>
      </c>
      <c r="AP22" s="21">
        <f>AP15*(IF(AP$5&lt;'Inputs'!$D$23,'Inputs'!$D$28,IF(AP$5&lt;EDATE('Inputs'!$D$23,6),'Inputs'!$D$29,'Inputs'!$D$30)))</f>
        <v>10726.0</v>
      </c>
      <c r="AQ22" s="21">
        <f>AQ15*(IF(AQ$5&lt;'Inputs'!$D$23,'Inputs'!$D$28,IF(AQ$5&lt;EDATE('Inputs'!$D$23,6),'Inputs'!$D$29,'Inputs'!$D$30)))</f>
        <v>10726.0</v>
      </c>
      <c r="AR22" s="21">
        <f>AR15*(IF(AR$5&lt;'Inputs'!$D$23,'Inputs'!$D$28,IF(AR$5&lt;EDATE('Inputs'!$D$23,6),'Inputs'!$D$29,'Inputs'!$D$30)))</f>
        <v>10726.0</v>
      </c>
      <c r="AS22" s="21">
        <f>AS15*(IF(AS$5&lt;'Inputs'!$D$23,'Inputs'!$D$28,IF(AS$5&lt;EDATE('Inputs'!$D$23,6),'Inputs'!$D$29,'Inputs'!$D$30)))</f>
        <v>10726.0</v>
      </c>
      <c r="AT22" s="21">
        <f>AT15*(IF(AT$5&lt;'Inputs'!$D$23,'Inputs'!$D$28,IF(AT$5&lt;EDATE('Inputs'!$D$23,6),'Inputs'!$D$29,'Inputs'!$D$30)))</f>
        <v>10726.0</v>
      </c>
      <c r="AU22" s="21">
        <f>AU15*(IF(AU$5&lt;'Inputs'!$D$23,'Inputs'!$D$28,IF(AU$5&lt;EDATE('Inputs'!$D$23,6),'Inputs'!$D$29,'Inputs'!$D$30)))</f>
        <v>10726.0</v>
      </c>
    </row>
    <row r="23" spans="1:48">
      <c r="A23" s="5" t="s">
        <v>114</v>
      </c>
      <c r="B23" s="12" t="s">
        <v>49</v>
      </c>
      <c r="C23" s="14" t="s">
        <v>228</v>
      </c>
      <c r="D23" s="21">
        <f>'Inputs'!$D$32</f>
        <v>7500.0</v>
      </c>
      <c r="E23" s="21">
        <f>'Inputs'!$D$32</f>
        <v>7500.0</v>
      </c>
      <c r="F23" s="21">
        <f>'Inputs'!$D$32</f>
        <v>7500.0</v>
      </c>
      <c r="G23" s="21">
        <f>'Inputs'!$D$32</f>
        <v>7500.0</v>
      </c>
      <c r="H23" s="21">
        <f>'Inputs'!$D$32</f>
        <v>7500.0</v>
      </c>
      <c r="I23" s="21">
        <f>'Inputs'!$D$32</f>
        <v>7500.0</v>
      </c>
      <c r="J23" s="21">
        <f>'Inputs'!$D$32</f>
        <v>7500.0</v>
      </c>
      <c r="K23" s="21">
        <f>'Inputs'!$D$32</f>
        <v>7500.0</v>
      </c>
      <c r="L23" s="21">
        <f>'Inputs'!$D$32</f>
        <v>7500.0</v>
      </c>
      <c r="M23" s="21">
        <f>'Inputs'!$D$32</f>
        <v>7500.0</v>
      </c>
      <c r="N23" s="21">
        <f>'Inputs'!$D$32</f>
        <v>7500.0</v>
      </c>
      <c r="O23" s="21">
        <f>'Inputs'!$D$32</f>
        <v>7500.0</v>
      </c>
      <c r="P23" s="21">
        <f>'Inputs'!$D$32</f>
        <v>7500.0</v>
      </c>
      <c r="Q23" s="21">
        <f>'Inputs'!$D$32</f>
        <v>7500.0</v>
      </c>
      <c r="R23" s="21">
        <f>'Inputs'!$D$32</f>
        <v>7500.0</v>
      </c>
      <c r="S23" s="21">
        <f>'Inputs'!$D$32</f>
        <v>7500.0</v>
      </c>
      <c r="T23" s="21">
        <f>'Inputs'!$D$32</f>
        <v>7500.0</v>
      </c>
      <c r="U23" s="21">
        <f>'Inputs'!$D$32</f>
        <v>7500.0</v>
      </c>
      <c r="V23" s="21">
        <f>'Inputs'!$D$32</f>
        <v>7500.0</v>
      </c>
      <c r="W23" s="21">
        <f>'Inputs'!$D$32</f>
        <v>7500.0</v>
      </c>
      <c r="X23" s="21">
        <f>'Inputs'!$D$32</f>
        <v>7500.0</v>
      </c>
      <c r="Y23" s="21">
        <f>'Inputs'!$D$32</f>
        <v>7500.0</v>
      </c>
      <c r="Z23" s="21">
        <f>'Inputs'!$D$32</f>
        <v>7500.0</v>
      </c>
      <c r="AA23" s="21">
        <f>'Inputs'!$D$32</f>
        <v>7500.0</v>
      </c>
      <c r="AB23" s="21">
        <f>'Inputs'!$D$32</f>
        <v>7500.0</v>
      </c>
      <c r="AC23" s="21">
        <f>'Inputs'!$D$32</f>
        <v>7500.0</v>
      </c>
      <c r="AD23" s="21">
        <f>'Inputs'!$D$32</f>
        <v>7500.0</v>
      </c>
      <c r="AE23" s="21">
        <f>'Inputs'!$D$32</f>
        <v>7500.0</v>
      </c>
      <c r="AF23" s="21">
        <f>'Inputs'!$D$32</f>
        <v>7500.0</v>
      </c>
      <c r="AG23" s="21">
        <f>'Inputs'!$D$32</f>
        <v>7500.0</v>
      </c>
      <c r="AH23" s="21">
        <f>'Inputs'!$D$32</f>
        <v>7500.0</v>
      </c>
      <c r="AI23" s="21">
        <f>'Inputs'!$D$32</f>
        <v>7500.0</v>
      </c>
      <c r="AJ23" s="21">
        <f>'Inputs'!$D$32</f>
        <v>7500.0</v>
      </c>
      <c r="AK23" s="21">
        <f>'Inputs'!$D$32</f>
        <v>7500.0</v>
      </c>
      <c r="AL23" s="21">
        <f>'Inputs'!$D$32</f>
        <v>7500.0</v>
      </c>
      <c r="AM23" s="21">
        <f>'Inputs'!$D$32</f>
        <v>7500.0</v>
      </c>
      <c r="AN23" s="21">
        <f>'Inputs'!$D$32</f>
        <v>7500.0</v>
      </c>
      <c r="AO23" s="21">
        <f>'Inputs'!$D$32</f>
        <v>7500.0</v>
      </c>
      <c r="AP23" s="21">
        <f>'Inputs'!$D$32</f>
        <v>7500.0</v>
      </c>
      <c r="AQ23" s="21">
        <f>'Inputs'!$D$32</f>
        <v>7500.0</v>
      </c>
      <c r="AR23" s="21">
        <f>'Inputs'!$D$32</f>
        <v>7500.0</v>
      </c>
      <c r="AS23" s="21">
        <f>'Inputs'!$D$32</f>
        <v>7500.0</v>
      </c>
      <c r="AT23" s="21">
        <f>'Inputs'!$D$32</f>
        <v>7500.0</v>
      </c>
      <c r="AU23" s="21">
        <f>'Inputs'!$D$32</f>
        <v>7500.0</v>
      </c>
    </row>
    <row r="24" spans="1:48">
      <c r="A24" s="5" t="s">
        <v>111</v>
      </c>
      <c r="B24" s="12" t="s">
        <v>49</v>
      </c>
      <c r="C24" s="14" t="s">
        <v>229</v>
      </c>
      <c r="D24" s="21">
        <f>D22*'Inputs'!$D$31</f>
        <v>151.09956</v>
      </c>
      <c r="E24" s="21">
        <f>E22*'Inputs'!$D$31</f>
        <v>151.09956</v>
      </c>
      <c r="F24" s="21">
        <f>F22*'Inputs'!$D$31</f>
        <v>151.09956</v>
      </c>
      <c r="G24" s="21">
        <f>G22*'Inputs'!$D$31</f>
        <v>92.59956</v>
      </c>
      <c r="H24" s="21">
        <f>H22*'Inputs'!$D$31</f>
        <v>92.59956</v>
      </c>
      <c r="I24" s="21">
        <f>I22*'Inputs'!$D$31</f>
        <v>92.59956</v>
      </c>
      <c r="J24" s="21">
        <f>J22*'Inputs'!$D$31</f>
        <v>92.59956</v>
      </c>
      <c r="K24" s="21">
        <f>K22*'Inputs'!$D$31</f>
        <v>92.59956</v>
      </c>
      <c r="L24" s="21">
        <f>L22*'Inputs'!$D$31</f>
        <v>531.7982472</v>
      </c>
      <c r="M24" s="21">
        <f>M22*'Inputs'!$D$31</f>
        <v>701.506344</v>
      </c>
      <c r="N24" s="21">
        <f>N22*'Inputs'!$D$31</f>
        <v>871.2144407999999</v>
      </c>
      <c r="O24" s="21">
        <f>O22*'Inputs'!$D$31</f>
        <v>1040.9225376</v>
      </c>
      <c r="P24" s="21">
        <f>P22*'Inputs'!$D$31</f>
        <v>1154.0612688</v>
      </c>
      <c r="Q24" s="21">
        <f>Q22*'Inputs'!$D$31</f>
        <v>1267.2</v>
      </c>
      <c r="R24" s="21">
        <f>R22*'Inputs'!$D$31</f>
        <v>1152.0</v>
      </c>
      <c r="S24" s="21">
        <f>S22*'Inputs'!$D$31</f>
        <v>1287.12</v>
      </c>
      <c r="T24" s="21">
        <f>T22*'Inputs'!$D$31</f>
        <v>1287.12</v>
      </c>
      <c r="U24" s="21">
        <f>U22*'Inputs'!$D$31</f>
        <v>1287.12</v>
      </c>
      <c r="V24" s="21">
        <f>V22*'Inputs'!$D$31</f>
        <v>1287.12</v>
      </c>
      <c r="W24" s="21">
        <f>W22*'Inputs'!$D$31</f>
        <v>1287.12</v>
      </c>
      <c r="X24" s="21">
        <f>X22*'Inputs'!$D$31</f>
        <v>1287.12</v>
      </c>
      <c r="Y24" s="21">
        <f>Y22*'Inputs'!$D$31</f>
        <v>1287.12</v>
      </c>
      <c r="Z24" s="21">
        <f>Z22*'Inputs'!$D$31</f>
        <v>1287.12</v>
      </c>
      <c r="AA24" s="21">
        <f>AA22*'Inputs'!$D$31</f>
        <v>1287.12</v>
      </c>
      <c r="AB24" s="21">
        <f>AB22*'Inputs'!$D$31</f>
        <v>1287.12</v>
      </c>
      <c r="AC24" s="21">
        <f>AC22*'Inputs'!$D$31</f>
        <v>1287.12</v>
      </c>
      <c r="AD24" s="21">
        <f>AD22*'Inputs'!$D$31</f>
        <v>1287.12</v>
      </c>
      <c r="AE24" s="21">
        <f>AE22*'Inputs'!$D$31</f>
        <v>1287.12</v>
      </c>
      <c r="AF24" s="21">
        <f>AF22*'Inputs'!$D$31</f>
        <v>1287.12</v>
      </c>
      <c r="AG24" s="21">
        <f>AG22*'Inputs'!$D$31</f>
        <v>1287.12</v>
      </c>
      <c r="AH24" s="21">
        <f>AH22*'Inputs'!$D$31</f>
        <v>1287.12</v>
      </c>
      <c r="AI24" s="21">
        <f>AI22*'Inputs'!$D$31</f>
        <v>1287.12</v>
      </c>
      <c r="AJ24" s="21">
        <f>AJ22*'Inputs'!$D$31</f>
        <v>1287.12</v>
      </c>
      <c r="AK24" s="21">
        <f>AK22*'Inputs'!$D$31</f>
        <v>1287.12</v>
      </c>
      <c r="AL24" s="21">
        <f>AL22*'Inputs'!$D$31</f>
        <v>1287.12</v>
      </c>
      <c r="AM24" s="21">
        <f>AM22*'Inputs'!$D$31</f>
        <v>1287.12</v>
      </c>
      <c r="AN24" s="21">
        <f>AN22*'Inputs'!$D$31</f>
        <v>1287.12</v>
      </c>
      <c r="AO24" s="21">
        <f>AO22*'Inputs'!$D$31</f>
        <v>1287.12</v>
      </c>
      <c r="AP24" s="21">
        <f>AP22*'Inputs'!$D$31</f>
        <v>1287.12</v>
      </c>
      <c r="AQ24" s="21">
        <f>AQ22*'Inputs'!$D$31</f>
        <v>1287.12</v>
      </c>
      <c r="AR24" s="21">
        <f>AR22*'Inputs'!$D$31</f>
        <v>1287.12</v>
      </c>
      <c r="AS24" s="21">
        <f>AS22*'Inputs'!$D$31</f>
        <v>1287.12</v>
      </c>
      <c r="AT24" s="21">
        <f>AT22*'Inputs'!$D$31</f>
        <v>1287.12</v>
      </c>
      <c r="AU24" s="21">
        <f>AU22*'Inputs'!$D$31</f>
        <v>1287.12</v>
      </c>
    </row>
    <row r="25" spans="1:48">
      <c r="A25" s="19" t="s">
        <v>230</v>
      </c>
      <c r="B25" s="12" t="s">
        <v>49</v>
      </c>
      <c r="C25" s="14" t="s">
        <v>231</v>
      </c>
      <c r="D25" s="20">
        <f>SUM(D22,D23,D24)</f>
        <v>8910.262560000001</v>
      </c>
      <c r="E25" s="20">
        <f>SUM(E22,E23,E24)</f>
        <v>8910.262560000001</v>
      </c>
      <c r="F25" s="20">
        <f>SUM(F22,F23,F24)</f>
        <v>8910.262560000001</v>
      </c>
      <c r="G25" s="20">
        <f>SUM(G22,G23,G24)</f>
        <v>8364.262560000001</v>
      </c>
      <c r="H25" s="20">
        <f>SUM(H22,H23,H24)</f>
        <v>8364.262560000001</v>
      </c>
      <c r="I25" s="20">
        <f>SUM(I22,I23,I24)</f>
        <v>8364.262560000001</v>
      </c>
      <c r="J25" s="20">
        <f>SUM(J22,J23,J24)</f>
        <v>8364.262560000001</v>
      </c>
      <c r="K25" s="20">
        <f>SUM(K22,K23,K24)</f>
        <v>8364.262560000001</v>
      </c>
      <c r="L25" s="20">
        <f>SUM(L22,L23,L24)</f>
        <v>12463.4503072</v>
      </c>
      <c r="M25" s="20">
        <f>SUM(M22,M23,M24)</f>
        <v>14047.392544</v>
      </c>
      <c r="N25" s="20">
        <f>SUM(N22,N23,N24)</f>
        <v>15631.3347808</v>
      </c>
      <c r="O25" s="20">
        <f>SUM(O22,O23,O24)</f>
        <v>17215.2770176</v>
      </c>
      <c r="P25" s="20">
        <f>SUM(P22,P23,P24)</f>
        <v>18271.2385088</v>
      </c>
      <c r="Q25" s="20">
        <f>SUM(Q22,Q23,Q24)</f>
        <v>19327.2</v>
      </c>
      <c r="R25" s="20">
        <f>SUM(R22,R23,R24)</f>
        <v>18252.0</v>
      </c>
      <c r="S25" s="20">
        <f>SUM(S22,S23,S24)</f>
        <v>19513.12</v>
      </c>
      <c r="T25" s="20">
        <f>SUM(T22,T23,T24)</f>
        <v>19513.12</v>
      </c>
      <c r="U25" s="20">
        <f>SUM(U22,U23,U24)</f>
        <v>19513.12</v>
      </c>
      <c r="V25" s="20">
        <f>SUM(V22,V23,V24)</f>
        <v>19513.12</v>
      </c>
      <c r="W25" s="20">
        <f>SUM(W22,W23,W24)</f>
        <v>19513.12</v>
      </c>
      <c r="X25" s="20">
        <f>SUM(X22,X23,X24)</f>
        <v>19513.12</v>
      </c>
      <c r="Y25" s="20">
        <f>SUM(Y22,Y23,Y24)</f>
        <v>19513.12</v>
      </c>
      <c r="Z25" s="20">
        <f>SUM(Z22,Z23,Z24)</f>
        <v>19513.12</v>
      </c>
      <c r="AA25" s="20">
        <f>SUM(AA22,AA23,AA24)</f>
        <v>19513.12</v>
      </c>
      <c r="AB25" s="20">
        <f>SUM(AB22,AB23,AB24)</f>
        <v>19513.12</v>
      </c>
      <c r="AC25" s="20">
        <f>SUM(AC22,AC23,AC24)</f>
        <v>19513.12</v>
      </c>
      <c r="AD25" s="20">
        <f>SUM(AD22,AD23,AD24)</f>
        <v>19513.12</v>
      </c>
      <c r="AE25" s="20">
        <f>SUM(AE22,AE23,AE24)</f>
        <v>19513.12</v>
      </c>
      <c r="AF25" s="20">
        <f>SUM(AF22,AF23,AF24)</f>
        <v>19513.12</v>
      </c>
      <c r="AG25" s="20">
        <f>SUM(AG22,AG23,AG24)</f>
        <v>19513.12</v>
      </c>
      <c r="AH25" s="20">
        <f>SUM(AH22,AH23,AH24)</f>
        <v>19513.12</v>
      </c>
      <c r="AI25" s="20">
        <f>SUM(AI22,AI23,AI24)</f>
        <v>19513.12</v>
      </c>
      <c r="AJ25" s="20">
        <f>SUM(AJ22,AJ23,AJ24)</f>
        <v>19513.12</v>
      </c>
      <c r="AK25" s="20">
        <f>SUM(AK22,AK23,AK24)</f>
        <v>19513.12</v>
      </c>
      <c r="AL25" s="20">
        <f>SUM(AL22,AL23,AL24)</f>
        <v>19513.12</v>
      </c>
      <c r="AM25" s="20">
        <f>SUM(AM22,AM23,AM24)</f>
        <v>19513.12</v>
      </c>
      <c r="AN25" s="20">
        <f>SUM(AN22,AN23,AN24)</f>
        <v>19513.12</v>
      </c>
      <c r="AO25" s="20">
        <f>SUM(AO22,AO23,AO24)</f>
        <v>19513.12</v>
      </c>
      <c r="AP25" s="20">
        <f>SUM(AP22,AP23,AP24)</f>
        <v>19513.12</v>
      </c>
      <c r="AQ25" s="20">
        <f>SUM(AQ22,AQ23,AQ24)</f>
        <v>19513.12</v>
      </c>
      <c r="AR25" s="20">
        <f>SUM(AR22,AR23,AR24)</f>
        <v>19513.12</v>
      </c>
      <c r="AS25" s="20">
        <f>SUM(AS22,AS23,AS24)</f>
        <v>19513.12</v>
      </c>
      <c r="AT25" s="20">
        <f>SUM(AT22,AT23,AT24)</f>
        <v>19513.12</v>
      </c>
      <c r="AU25" s="20">
        <f>SUM(AU22,AU23,AU24)</f>
        <v>19513.12</v>
      </c>
    </row>
    <row r="26" spans="1:48">
      <c r="A26" s="5" t="s">
        <v>232</v>
      </c>
      <c r="B26" s="12" t="s">
        <v>221</v>
      </c>
      <c r="C26" s="14" t="s">
        <v>233</v>
      </c>
      <c r="D26" s="22">
        <f>IFERROR(D25/D15,0)</f>
        <v>1.061450649359932</v>
      </c>
      <c r="E26" s="22">
        <f>IFERROR(E25/E15,0)</f>
        <v>1.061450649359932</v>
      </c>
      <c r="F26" s="22">
        <f>IFERROR(F25/F15,0)</f>
        <v>1.061450649359932</v>
      </c>
      <c r="G26" s="22">
        <f>IFERROR(G25/G15,0)</f>
        <v>1.6258902966709563</v>
      </c>
      <c r="H26" s="22">
        <f>IFERROR(H25/H15,0)</f>
        <v>1.6258902966709563</v>
      </c>
      <c r="I26" s="22">
        <f>IFERROR(I25/I15,0)</f>
        <v>1.6258902966709563</v>
      </c>
      <c r="J26" s="22">
        <f>IFERROR(J25/J15,0)</f>
        <v>1.6258902966709563</v>
      </c>
      <c r="K26" s="22">
        <f>IFERROR(K25/K15,0)</f>
        <v>1.6258902966709563</v>
      </c>
      <c r="L26" s="22">
        <f>IFERROR(L25/L15,0)</f>
        <v>0.6187216483741732</v>
      </c>
      <c r="M26" s="22">
        <f>IFERROR(M25/M15,0)</f>
        <v>0.5286497639451141</v>
      </c>
      <c r="N26" s="22">
        <f>IFERROR(N25/N15,0)</f>
        <v>0.4736689601175399</v>
      </c>
      <c r="O26" s="22">
        <f>IFERROR(O25/O15,0)</f>
        <v>0.4366158833610407</v>
      </c>
      <c r="P26" s="22">
        <f>IFERROR(P25/P15,0)</f>
        <v>0.4179680140672961</v>
      </c>
      <c r="Q26" s="22">
        <f>IFERROR(Q25/Q15,0)</f>
        <v>0.40265</v>
      </c>
      <c r="R26" s="22">
        <f>IFERROR(R25/R15,0)</f>
        <v>0.38025</v>
      </c>
      <c r="S26" s="22">
        <f>IFERROR(S25/S15,0)</f>
        <v>0.36384710050344954</v>
      </c>
      <c r="T26" s="22">
        <f>IFERROR(T25/T15,0)</f>
        <v>0.36384710050344954</v>
      </c>
      <c r="U26" s="22">
        <f>IFERROR(U25/U15,0)</f>
        <v>0.36384710050344954</v>
      </c>
      <c r="V26" s="22">
        <f>IFERROR(V25/V15,0)</f>
        <v>0.36384710050344954</v>
      </c>
      <c r="W26" s="22">
        <f>IFERROR(W25/W15,0)</f>
        <v>0.36384710050344954</v>
      </c>
      <c r="X26" s="22">
        <f>IFERROR(X25/X15,0)</f>
        <v>0.36384710050344954</v>
      </c>
      <c r="Y26" s="22">
        <f>IFERROR(Y25/Y15,0)</f>
        <v>0.36384710050344954</v>
      </c>
      <c r="Z26" s="22">
        <f>IFERROR(Z25/Z15,0)</f>
        <v>0.36384710050344954</v>
      </c>
      <c r="AA26" s="22">
        <f>IFERROR(AA25/AA15,0)</f>
        <v>0.36384710050344954</v>
      </c>
      <c r="AB26" s="22">
        <f>IFERROR(AB25/AB15,0)</f>
        <v>0.36384710050344954</v>
      </c>
      <c r="AC26" s="22">
        <f>IFERROR(AC25/AC15,0)</f>
        <v>0.36384710050344954</v>
      </c>
      <c r="AD26" s="22">
        <f>IFERROR(AD25/AD15,0)</f>
        <v>0.36384710050344954</v>
      </c>
      <c r="AE26" s="22">
        <f>IFERROR(AE25/AE15,0)</f>
        <v>0.36384710050344954</v>
      </c>
      <c r="AF26" s="22">
        <f>IFERROR(AF25/AF15,0)</f>
        <v>0.36384710050344954</v>
      </c>
      <c r="AG26" s="22">
        <f>IFERROR(AG25/AG15,0)</f>
        <v>0.36384710050344954</v>
      </c>
      <c r="AH26" s="22">
        <f>IFERROR(AH25/AH15,0)</f>
        <v>0.36384710050344954</v>
      </c>
      <c r="AI26" s="22">
        <f>IFERROR(AI25/AI15,0)</f>
        <v>0.36384710050344954</v>
      </c>
      <c r="AJ26" s="22">
        <f>IFERROR(AJ25/AJ15,0)</f>
        <v>0.36384710050344954</v>
      </c>
      <c r="AK26" s="22">
        <f>IFERROR(AK25/AK15,0)</f>
        <v>0.36384710050344954</v>
      </c>
      <c r="AL26" s="22">
        <f>IFERROR(AL25/AL15,0)</f>
        <v>0.36384710050344954</v>
      </c>
      <c r="AM26" s="22">
        <f>IFERROR(AM25/AM15,0)</f>
        <v>0.36384710050344954</v>
      </c>
      <c r="AN26" s="22">
        <f>IFERROR(AN25/AN15,0)</f>
        <v>0.36384710050344954</v>
      </c>
      <c r="AO26" s="22">
        <f>IFERROR(AO25/AO15,0)</f>
        <v>0.36384710050344954</v>
      </c>
      <c r="AP26" s="22">
        <f>IFERROR(AP25/AP15,0)</f>
        <v>0.36384710050344954</v>
      </c>
      <c r="AQ26" s="22">
        <f>IFERROR(AQ25/AQ15,0)</f>
        <v>0.36384710050344954</v>
      </c>
      <c r="AR26" s="22">
        <f>IFERROR(AR25/AR15,0)</f>
        <v>0.36384710050344954</v>
      </c>
      <c r="AS26" s="22">
        <f>IFERROR(AS25/AS15,0)</f>
        <v>0.36384710050344954</v>
      </c>
      <c r="AT26" s="22">
        <f>IFERROR(AT25/AT15,0)</f>
        <v>0.36384710050344954</v>
      </c>
      <c r="AU26" s="22">
        <f>IFERROR(AU25/AU15,0)</f>
        <v>0.36384710050344954</v>
      </c>
    </row>
    <row r="27" spans="1:48">
      <c r="A27" s="3" t="s">
        <v>196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>
      <c r="A28" s="5" t="s">
        <v>234</v>
      </c>
      <c r="B28" s="12" t="s">
        <v>49</v>
      </c>
      <c r="C28" s="14" t="s">
        <v>235</v>
      </c>
      <c r="D28" s="21">
        <f>IF(D$5&lt;DATE(2026,10,1),'Inputs'!$D$41,IF(D$5&lt;DATE(2027,1,1),'Inputs'!$D$42,IF(D$5&lt;DATE(2027,6,1),'Inputs'!$D$43,IF(D$5&lt;DATE(2028,1,1),'Inputs'!$D$44,'Inputs'!$D$45))))</f>
        <v>1800.0</v>
      </c>
      <c r="E28" s="21">
        <f>IF(E$5&lt;DATE(2026,10,1),'Inputs'!$D$41,IF(E$5&lt;DATE(2027,1,1),'Inputs'!$D$42,IF(E$5&lt;DATE(2027,6,1),'Inputs'!$D$43,IF(E$5&lt;DATE(2028,1,1),'Inputs'!$D$44,'Inputs'!$D$45))))</f>
        <v>1800.0</v>
      </c>
      <c r="F28" s="21">
        <f>IF(F$5&lt;DATE(2026,10,1),'Inputs'!$D$41,IF(F$5&lt;DATE(2027,1,1),'Inputs'!$D$42,IF(F$5&lt;DATE(2027,6,1),'Inputs'!$D$43,IF(F$5&lt;DATE(2028,1,1),'Inputs'!$D$44,'Inputs'!$D$45))))</f>
        <v>1800.0</v>
      </c>
      <c r="G28" s="21">
        <f>IF(G$5&lt;DATE(2026,10,1),'Inputs'!$D$41,IF(G$5&lt;DATE(2027,1,1),'Inputs'!$D$42,IF(G$5&lt;DATE(2027,6,1),'Inputs'!$D$43,IF(G$5&lt;DATE(2028,1,1),'Inputs'!$D$44,'Inputs'!$D$45))))</f>
        <v>2600.0</v>
      </c>
      <c r="H28" s="21">
        <f>IF(H$5&lt;DATE(2026,10,1),'Inputs'!$D$41,IF(H$5&lt;DATE(2027,1,1),'Inputs'!$D$42,IF(H$5&lt;DATE(2027,6,1),'Inputs'!$D$43,IF(H$5&lt;DATE(2028,1,1),'Inputs'!$D$44,'Inputs'!$D$45))))</f>
        <v>2600.0</v>
      </c>
      <c r="I28" s="21">
        <f>IF(I$5&lt;DATE(2026,10,1),'Inputs'!$D$41,IF(I$5&lt;DATE(2027,1,1),'Inputs'!$D$42,IF(I$5&lt;DATE(2027,6,1),'Inputs'!$D$43,IF(I$5&lt;DATE(2028,1,1),'Inputs'!$D$44,'Inputs'!$D$45))))</f>
        <v>2600.0</v>
      </c>
      <c r="J28" s="21">
        <f>IF(J$5&lt;DATE(2026,10,1),'Inputs'!$D$41,IF(J$5&lt;DATE(2027,1,1),'Inputs'!$D$42,IF(J$5&lt;DATE(2027,6,1),'Inputs'!$D$43,IF(J$5&lt;DATE(2028,1,1),'Inputs'!$D$44,'Inputs'!$D$45))))</f>
        <v>2600.0</v>
      </c>
      <c r="K28" s="21">
        <f>IF(K$5&lt;DATE(2026,10,1),'Inputs'!$D$41,IF(K$5&lt;DATE(2027,1,1),'Inputs'!$D$42,IF(K$5&lt;DATE(2027,6,1),'Inputs'!$D$43,IF(K$5&lt;DATE(2028,1,1),'Inputs'!$D$44,'Inputs'!$D$45))))</f>
        <v>2600.0</v>
      </c>
      <c r="L28" s="21">
        <f>IF(L$5&lt;DATE(2026,10,1),'Inputs'!$D$41,IF(L$5&lt;DATE(2027,1,1),'Inputs'!$D$42,IF(L$5&lt;DATE(2027,6,1),'Inputs'!$D$43,IF(L$5&lt;DATE(2028,1,1),'Inputs'!$D$44,'Inputs'!$D$45))))</f>
        <v>3400.0</v>
      </c>
      <c r="M28" s="21">
        <f>IF(M$5&lt;DATE(2026,10,1),'Inputs'!$D$41,IF(M$5&lt;DATE(2027,1,1),'Inputs'!$D$42,IF(M$5&lt;DATE(2027,6,1),'Inputs'!$D$43,IF(M$5&lt;DATE(2028,1,1),'Inputs'!$D$44,'Inputs'!$D$45))))</f>
        <v>3400.0</v>
      </c>
      <c r="N28" s="21">
        <f>IF(N$5&lt;DATE(2026,10,1),'Inputs'!$D$41,IF(N$5&lt;DATE(2027,1,1),'Inputs'!$D$42,IF(N$5&lt;DATE(2027,6,1),'Inputs'!$D$43,IF(N$5&lt;DATE(2028,1,1),'Inputs'!$D$44,'Inputs'!$D$45))))</f>
        <v>3400.0</v>
      </c>
      <c r="O28" s="21">
        <f>IF(O$5&lt;DATE(2026,10,1),'Inputs'!$D$41,IF(O$5&lt;DATE(2027,1,1),'Inputs'!$D$42,IF(O$5&lt;DATE(2027,6,1),'Inputs'!$D$43,IF(O$5&lt;DATE(2028,1,1),'Inputs'!$D$44,'Inputs'!$D$45))))</f>
        <v>3400.0</v>
      </c>
      <c r="P28" s="21">
        <f>IF(P$5&lt;DATE(2026,10,1),'Inputs'!$D$41,IF(P$5&lt;DATE(2027,1,1),'Inputs'!$D$42,IF(P$5&lt;DATE(2027,6,1),'Inputs'!$D$43,IF(P$5&lt;DATE(2028,1,1),'Inputs'!$D$44,'Inputs'!$D$45))))</f>
        <v>3400.0</v>
      </c>
      <c r="Q28" s="21">
        <f>IF(Q$5&lt;DATE(2026,10,1),'Inputs'!$D$41,IF(Q$5&lt;DATE(2027,1,1),'Inputs'!$D$42,IF(Q$5&lt;DATE(2027,6,1),'Inputs'!$D$43,IF(Q$5&lt;DATE(2028,1,1),'Inputs'!$D$44,'Inputs'!$D$45))))</f>
        <v>3400.0</v>
      </c>
      <c r="R28" s="21">
        <f>IF(R$5&lt;DATE(2026,10,1),'Inputs'!$D$41,IF(R$5&lt;DATE(2027,1,1),'Inputs'!$D$42,IF(R$5&lt;DATE(2027,6,1),'Inputs'!$D$43,IF(R$5&lt;DATE(2028,1,1),'Inputs'!$D$44,'Inputs'!$D$45))))</f>
        <v>3400.0</v>
      </c>
      <c r="S28" s="21">
        <f>IF(S$5&lt;DATE(2026,10,1),'Inputs'!$D$41,IF(S$5&lt;DATE(2027,1,1),'Inputs'!$D$42,IF(S$5&lt;DATE(2027,6,1),'Inputs'!$D$43,IF(S$5&lt;DATE(2028,1,1),'Inputs'!$D$44,'Inputs'!$D$45))))</f>
        <v>3963.0</v>
      </c>
      <c r="T28" s="21">
        <f>IF(T$5&lt;DATE(2026,10,1),'Inputs'!$D$41,IF(T$5&lt;DATE(2027,1,1),'Inputs'!$D$42,IF(T$5&lt;DATE(2027,6,1),'Inputs'!$D$43,IF(T$5&lt;DATE(2028,1,1),'Inputs'!$D$44,'Inputs'!$D$45))))</f>
        <v>3963.0</v>
      </c>
      <c r="U28" s="21">
        <f>IF(U$5&lt;DATE(2026,10,1),'Inputs'!$D$41,IF(U$5&lt;DATE(2027,1,1),'Inputs'!$D$42,IF(U$5&lt;DATE(2027,6,1),'Inputs'!$D$43,IF(U$5&lt;DATE(2028,1,1),'Inputs'!$D$44,'Inputs'!$D$45))))</f>
        <v>3963.0</v>
      </c>
      <c r="V28" s="21">
        <f>IF(V$5&lt;DATE(2026,10,1),'Inputs'!$D$41,IF(V$5&lt;DATE(2027,1,1),'Inputs'!$D$42,IF(V$5&lt;DATE(2027,6,1),'Inputs'!$D$43,IF(V$5&lt;DATE(2028,1,1),'Inputs'!$D$44,'Inputs'!$D$45))))</f>
        <v>3963.0</v>
      </c>
      <c r="W28" s="21">
        <f>IF(W$5&lt;DATE(2026,10,1),'Inputs'!$D$41,IF(W$5&lt;DATE(2027,1,1),'Inputs'!$D$42,IF(W$5&lt;DATE(2027,6,1),'Inputs'!$D$43,IF(W$5&lt;DATE(2028,1,1),'Inputs'!$D$44,'Inputs'!$D$45))))</f>
        <v>3963.0</v>
      </c>
      <c r="X28" s="21">
        <f>IF(X$5&lt;DATE(2026,10,1),'Inputs'!$D$41,IF(X$5&lt;DATE(2027,1,1),'Inputs'!$D$42,IF(X$5&lt;DATE(2027,6,1),'Inputs'!$D$43,IF(X$5&lt;DATE(2028,1,1),'Inputs'!$D$44,'Inputs'!$D$45))))</f>
        <v>3963.0</v>
      </c>
      <c r="Y28" s="21">
        <f>IF(Y$5&lt;DATE(2026,10,1),'Inputs'!$D$41,IF(Y$5&lt;DATE(2027,1,1),'Inputs'!$D$42,IF(Y$5&lt;DATE(2027,6,1),'Inputs'!$D$43,IF(Y$5&lt;DATE(2028,1,1),'Inputs'!$D$44,'Inputs'!$D$45))))</f>
        <v>3963.0</v>
      </c>
      <c r="Z28" s="21">
        <f>IF(Z$5&lt;DATE(2026,10,1),'Inputs'!$D$41,IF(Z$5&lt;DATE(2027,1,1),'Inputs'!$D$42,IF(Z$5&lt;DATE(2027,6,1),'Inputs'!$D$43,IF(Z$5&lt;DATE(2028,1,1),'Inputs'!$D$44,'Inputs'!$D$45))))</f>
        <v>3963.0</v>
      </c>
      <c r="AA28" s="21">
        <f>IF(AA$5&lt;DATE(2026,10,1),'Inputs'!$D$41,IF(AA$5&lt;DATE(2027,1,1),'Inputs'!$D$42,IF(AA$5&lt;DATE(2027,6,1),'Inputs'!$D$43,IF(AA$5&lt;DATE(2028,1,1),'Inputs'!$D$44,'Inputs'!$D$45))))</f>
        <v>3963.0</v>
      </c>
      <c r="AB28" s="21">
        <f>IF(AB$5&lt;DATE(2026,10,1),'Inputs'!$D$41,IF(AB$5&lt;DATE(2027,1,1),'Inputs'!$D$42,IF(AB$5&lt;DATE(2027,6,1),'Inputs'!$D$43,IF(AB$5&lt;DATE(2028,1,1),'Inputs'!$D$44,'Inputs'!$D$45))))</f>
        <v>3963.0</v>
      </c>
      <c r="AC28" s="21">
        <f>IF(AC$5&lt;DATE(2026,10,1),'Inputs'!$D$41,IF(AC$5&lt;DATE(2027,1,1),'Inputs'!$D$42,IF(AC$5&lt;DATE(2027,6,1),'Inputs'!$D$43,IF(AC$5&lt;DATE(2028,1,1),'Inputs'!$D$44,'Inputs'!$D$45))))</f>
        <v>3963.0</v>
      </c>
      <c r="AD28" s="21">
        <f>IF(AD$5&lt;DATE(2026,10,1),'Inputs'!$D$41,IF(AD$5&lt;DATE(2027,1,1),'Inputs'!$D$42,IF(AD$5&lt;DATE(2027,6,1),'Inputs'!$D$43,IF(AD$5&lt;DATE(2028,1,1),'Inputs'!$D$44,'Inputs'!$D$45))))</f>
        <v>3963.0</v>
      </c>
      <c r="AE28" s="21">
        <f>IF(AE$5&lt;DATE(2026,10,1),'Inputs'!$D$41,IF(AE$5&lt;DATE(2027,1,1),'Inputs'!$D$42,IF(AE$5&lt;DATE(2027,6,1),'Inputs'!$D$43,IF(AE$5&lt;DATE(2028,1,1),'Inputs'!$D$44,'Inputs'!$D$45))))</f>
        <v>3963.0</v>
      </c>
      <c r="AF28" s="21">
        <f>IF(AF$5&lt;DATE(2026,10,1),'Inputs'!$D$41,IF(AF$5&lt;DATE(2027,1,1),'Inputs'!$D$42,IF(AF$5&lt;DATE(2027,6,1),'Inputs'!$D$43,IF(AF$5&lt;DATE(2028,1,1),'Inputs'!$D$44,'Inputs'!$D$45))))</f>
        <v>3963.0</v>
      </c>
      <c r="AG28" s="21">
        <f>IF(AG$5&lt;DATE(2026,10,1),'Inputs'!$D$41,IF(AG$5&lt;DATE(2027,1,1),'Inputs'!$D$42,IF(AG$5&lt;DATE(2027,6,1),'Inputs'!$D$43,IF(AG$5&lt;DATE(2028,1,1),'Inputs'!$D$44,'Inputs'!$D$45))))</f>
        <v>3963.0</v>
      </c>
      <c r="AH28" s="21">
        <f>IF(AH$5&lt;DATE(2026,10,1),'Inputs'!$D$41,IF(AH$5&lt;DATE(2027,1,1),'Inputs'!$D$42,IF(AH$5&lt;DATE(2027,6,1),'Inputs'!$D$43,IF(AH$5&lt;DATE(2028,1,1),'Inputs'!$D$44,'Inputs'!$D$45))))</f>
        <v>3963.0</v>
      </c>
      <c r="AI28" s="21">
        <f>IF(AI$5&lt;DATE(2026,10,1),'Inputs'!$D$41,IF(AI$5&lt;DATE(2027,1,1),'Inputs'!$D$42,IF(AI$5&lt;DATE(2027,6,1),'Inputs'!$D$43,IF(AI$5&lt;DATE(2028,1,1),'Inputs'!$D$44,'Inputs'!$D$45))))</f>
        <v>3963.0</v>
      </c>
      <c r="AJ28" s="21">
        <f>IF(AJ$5&lt;DATE(2026,10,1),'Inputs'!$D$41,IF(AJ$5&lt;DATE(2027,1,1),'Inputs'!$D$42,IF(AJ$5&lt;DATE(2027,6,1),'Inputs'!$D$43,IF(AJ$5&lt;DATE(2028,1,1),'Inputs'!$D$44,'Inputs'!$D$45))))</f>
        <v>3963.0</v>
      </c>
      <c r="AK28" s="21">
        <f>IF(AK$5&lt;DATE(2026,10,1),'Inputs'!$D$41,IF(AK$5&lt;DATE(2027,1,1),'Inputs'!$D$42,IF(AK$5&lt;DATE(2027,6,1),'Inputs'!$D$43,IF(AK$5&lt;DATE(2028,1,1),'Inputs'!$D$44,'Inputs'!$D$45))))</f>
        <v>3963.0</v>
      </c>
      <c r="AL28" s="21">
        <f>IF(AL$5&lt;DATE(2026,10,1),'Inputs'!$D$41,IF(AL$5&lt;DATE(2027,1,1),'Inputs'!$D$42,IF(AL$5&lt;DATE(2027,6,1),'Inputs'!$D$43,IF(AL$5&lt;DATE(2028,1,1),'Inputs'!$D$44,'Inputs'!$D$45))))</f>
        <v>3963.0</v>
      </c>
      <c r="AM28" s="21">
        <f>IF(AM$5&lt;DATE(2026,10,1),'Inputs'!$D$41,IF(AM$5&lt;DATE(2027,1,1),'Inputs'!$D$42,IF(AM$5&lt;DATE(2027,6,1),'Inputs'!$D$43,IF(AM$5&lt;DATE(2028,1,1),'Inputs'!$D$44,'Inputs'!$D$45))))</f>
        <v>3963.0</v>
      </c>
      <c r="AN28" s="21">
        <f>IF(AN$5&lt;DATE(2026,10,1),'Inputs'!$D$41,IF(AN$5&lt;DATE(2027,1,1),'Inputs'!$D$42,IF(AN$5&lt;DATE(2027,6,1),'Inputs'!$D$43,IF(AN$5&lt;DATE(2028,1,1),'Inputs'!$D$44,'Inputs'!$D$45))))</f>
        <v>3963.0</v>
      </c>
      <c r="AO28" s="21">
        <f>IF(AO$5&lt;DATE(2026,10,1),'Inputs'!$D$41,IF(AO$5&lt;DATE(2027,1,1),'Inputs'!$D$42,IF(AO$5&lt;DATE(2027,6,1),'Inputs'!$D$43,IF(AO$5&lt;DATE(2028,1,1),'Inputs'!$D$44,'Inputs'!$D$45))))</f>
        <v>3963.0</v>
      </c>
      <c r="AP28" s="21">
        <f>IF(AP$5&lt;DATE(2026,10,1),'Inputs'!$D$41,IF(AP$5&lt;DATE(2027,1,1),'Inputs'!$D$42,IF(AP$5&lt;DATE(2027,6,1),'Inputs'!$D$43,IF(AP$5&lt;DATE(2028,1,1),'Inputs'!$D$44,'Inputs'!$D$45))))</f>
        <v>3963.0</v>
      </c>
      <c r="AQ28" s="21">
        <f>IF(AQ$5&lt;DATE(2026,10,1),'Inputs'!$D$41,IF(AQ$5&lt;DATE(2027,1,1),'Inputs'!$D$42,IF(AQ$5&lt;DATE(2027,6,1),'Inputs'!$D$43,IF(AQ$5&lt;DATE(2028,1,1),'Inputs'!$D$44,'Inputs'!$D$45))))</f>
        <v>3963.0</v>
      </c>
      <c r="AR28" s="21">
        <f>IF(AR$5&lt;DATE(2026,10,1),'Inputs'!$D$41,IF(AR$5&lt;DATE(2027,1,1),'Inputs'!$D$42,IF(AR$5&lt;DATE(2027,6,1),'Inputs'!$D$43,IF(AR$5&lt;DATE(2028,1,1),'Inputs'!$D$44,'Inputs'!$D$45))))</f>
        <v>3963.0</v>
      </c>
      <c r="AS28" s="21">
        <f>IF(AS$5&lt;DATE(2026,10,1),'Inputs'!$D$41,IF(AS$5&lt;DATE(2027,1,1),'Inputs'!$D$42,IF(AS$5&lt;DATE(2027,6,1),'Inputs'!$D$43,IF(AS$5&lt;DATE(2028,1,1),'Inputs'!$D$44,'Inputs'!$D$45))))</f>
        <v>3963.0</v>
      </c>
      <c r="AT28" s="21">
        <f>IF(AT$5&lt;DATE(2026,10,1),'Inputs'!$D$41,IF(AT$5&lt;DATE(2027,1,1),'Inputs'!$D$42,IF(AT$5&lt;DATE(2027,6,1),'Inputs'!$D$43,IF(AT$5&lt;DATE(2028,1,1),'Inputs'!$D$44,'Inputs'!$D$45))))</f>
        <v>3963.0</v>
      </c>
      <c r="AU28" s="21">
        <f>IF(AU$5&lt;DATE(2026,10,1),'Inputs'!$D$41,IF(AU$5&lt;DATE(2027,1,1),'Inputs'!$D$42,IF(AU$5&lt;DATE(2027,6,1),'Inputs'!$D$43,IF(AU$5&lt;DATE(2028,1,1),'Inputs'!$D$44,'Inputs'!$D$45))))</f>
        <v>3963.0</v>
      </c>
    </row>
    <row r="29" spans="1:48">
      <c r="A29" s="5" t="s">
        <v>48</v>
      </c>
      <c r="B29" s="12" t="s">
        <v>49</v>
      </c>
      <c r="C29" s="14" t="s">
        <v>236</v>
      </c>
      <c r="D29" s="21">
        <f>IF(D$5&gt;='Inputs'!$D$46,'Inputs'!$D$8,0)</f>
        <v>0.0</v>
      </c>
      <c r="E29" s="21">
        <f>IF(E$5&gt;='Inputs'!$D$46,'Inputs'!$D$8,0)</f>
        <v>0.0</v>
      </c>
      <c r="F29" s="21">
        <f>IF(F$5&gt;='Inputs'!$D$46,'Inputs'!$D$8,0)</f>
        <v>0.0</v>
      </c>
      <c r="G29" s="21">
        <f>IF(G$5&gt;='Inputs'!$D$46,'Inputs'!$D$8,0)</f>
        <v>0.0</v>
      </c>
      <c r="H29" s="21">
        <f>IF(H$5&gt;='Inputs'!$D$46,'Inputs'!$D$8,0)</f>
        <v>0.0</v>
      </c>
      <c r="I29" s="21">
        <f>IF(I$5&gt;='Inputs'!$D$46,'Inputs'!$D$8,0)</f>
        <v>1400.0</v>
      </c>
      <c r="J29" s="21">
        <f>IF(J$5&gt;='Inputs'!$D$46,'Inputs'!$D$8,0)</f>
        <v>1400.0</v>
      </c>
      <c r="K29" s="21">
        <f>IF(K$5&gt;='Inputs'!$D$46,'Inputs'!$D$8,0)</f>
        <v>1400.0</v>
      </c>
      <c r="L29" s="21">
        <f>IF(L$5&gt;='Inputs'!$D$46,'Inputs'!$D$8,0)</f>
        <v>1400.0</v>
      </c>
      <c r="M29" s="21">
        <f>IF(M$5&gt;='Inputs'!$D$46,'Inputs'!$D$8,0)</f>
        <v>1400.0</v>
      </c>
      <c r="N29" s="21">
        <f>IF(N$5&gt;='Inputs'!$D$46,'Inputs'!$D$8,0)</f>
        <v>1400.0</v>
      </c>
      <c r="O29" s="21">
        <f>IF(O$5&gt;='Inputs'!$D$46,'Inputs'!$D$8,0)</f>
        <v>1400.0</v>
      </c>
      <c r="P29" s="21">
        <f>IF(P$5&gt;='Inputs'!$D$46,'Inputs'!$D$8,0)</f>
        <v>1400.0</v>
      </c>
      <c r="Q29" s="21">
        <f>IF(Q$5&gt;='Inputs'!$D$46,'Inputs'!$D$8,0)</f>
        <v>1400.0</v>
      </c>
      <c r="R29" s="21">
        <f>IF(R$5&gt;='Inputs'!$D$46,'Inputs'!$D$8,0)</f>
        <v>1400.0</v>
      </c>
      <c r="S29" s="21">
        <f>IF(S$5&gt;='Inputs'!$D$46,'Inputs'!$D$8,0)</f>
        <v>1400.0</v>
      </c>
      <c r="T29" s="21">
        <f>IF(T$5&gt;='Inputs'!$D$46,'Inputs'!$D$8,0)</f>
        <v>1400.0</v>
      </c>
      <c r="U29" s="21">
        <f>IF(U$5&gt;='Inputs'!$D$46,'Inputs'!$D$8,0)</f>
        <v>1400.0</v>
      </c>
      <c r="V29" s="21">
        <f>IF(V$5&gt;='Inputs'!$D$46,'Inputs'!$D$8,0)</f>
        <v>1400.0</v>
      </c>
      <c r="W29" s="21">
        <f>IF(W$5&gt;='Inputs'!$D$46,'Inputs'!$D$8,0)</f>
        <v>1400.0</v>
      </c>
      <c r="X29" s="21">
        <f>IF(X$5&gt;='Inputs'!$D$46,'Inputs'!$D$8,0)</f>
        <v>1400.0</v>
      </c>
      <c r="Y29" s="21">
        <f>IF(Y$5&gt;='Inputs'!$D$46,'Inputs'!$D$8,0)</f>
        <v>1400.0</v>
      </c>
      <c r="Z29" s="21">
        <f>IF(Z$5&gt;='Inputs'!$D$46,'Inputs'!$D$8,0)</f>
        <v>1400.0</v>
      </c>
      <c r="AA29" s="21">
        <f>IF(AA$5&gt;='Inputs'!$D$46,'Inputs'!$D$8,0)</f>
        <v>1400.0</v>
      </c>
      <c r="AB29" s="21">
        <f>IF(AB$5&gt;='Inputs'!$D$46,'Inputs'!$D$8,0)</f>
        <v>1400.0</v>
      </c>
      <c r="AC29" s="21">
        <f>IF(AC$5&gt;='Inputs'!$D$46,'Inputs'!$D$8,0)</f>
        <v>1400.0</v>
      </c>
      <c r="AD29" s="21">
        <f>IF(AD$5&gt;='Inputs'!$D$46,'Inputs'!$D$8,0)</f>
        <v>1400.0</v>
      </c>
      <c r="AE29" s="21">
        <f>IF(AE$5&gt;='Inputs'!$D$46,'Inputs'!$D$8,0)</f>
        <v>1400.0</v>
      </c>
      <c r="AF29" s="21">
        <f>IF(AF$5&gt;='Inputs'!$D$46,'Inputs'!$D$8,0)</f>
        <v>1400.0</v>
      </c>
      <c r="AG29" s="21">
        <f>IF(AG$5&gt;='Inputs'!$D$46,'Inputs'!$D$8,0)</f>
        <v>1400.0</v>
      </c>
      <c r="AH29" s="21">
        <f>IF(AH$5&gt;='Inputs'!$D$46,'Inputs'!$D$8,0)</f>
        <v>1400.0</v>
      </c>
      <c r="AI29" s="21">
        <f>IF(AI$5&gt;='Inputs'!$D$46,'Inputs'!$D$8,0)</f>
        <v>1400.0</v>
      </c>
      <c r="AJ29" s="21">
        <f>IF(AJ$5&gt;='Inputs'!$D$46,'Inputs'!$D$8,0)</f>
        <v>1400.0</v>
      </c>
      <c r="AK29" s="21">
        <f>IF(AK$5&gt;='Inputs'!$D$46,'Inputs'!$D$8,0)</f>
        <v>1400.0</v>
      </c>
      <c r="AL29" s="21">
        <f>IF(AL$5&gt;='Inputs'!$D$46,'Inputs'!$D$8,0)</f>
        <v>1400.0</v>
      </c>
      <c r="AM29" s="21">
        <f>IF(AM$5&gt;='Inputs'!$D$46,'Inputs'!$D$8,0)</f>
        <v>1400.0</v>
      </c>
      <c r="AN29" s="21">
        <f>IF(AN$5&gt;='Inputs'!$D$46,'Inputs'!$D$8,0)</f>
        <v>1400.0</v>
      </c>
      <c r="AO29" s="21">
        <f>IF(AO$5&gt;='Inputs'!$D$46,'Inputs'!$D$8,0)</f>
        <v>1400.0</v>
      </c>
      <c r="AP29" s="21">
        <f>IF(AP$5&gt;='Inputs'!$D$46,'Inputs'!$D$8,0)</f>
        <v>1400.0</v>
      </c>
      <c r="AQ29" s="21">
        <f>IF(AQ$5&gt;='Inputs'!$D$46,'Inputs'!$D$8,0)</f>
        <v>1400.0</v>
      </c>
      <c r="AR29" s="21">
        <f>IF(AR$5&gt;='Inputs'!$D$46,'Inputs'!$D$8,0)</f>
        <v>1400.0</v>
      </c>
      <c r="AS29" s="21">
        <f>IF(AS$5&gt;='Inputs'!$D$46,'Inputs'!$D$8,0)</f>
        <v>1400.0</v>
      </c>
      <c r="AT29" s="21">
        <f>IF(AT$5&gt;='Inputs'!$D$46,'Inputs'!$D$8,0)</f>
        <v>1400.0</v>
      </c>
      <c r="AU29" s="21">
        <f>IF(AU$5&gt;='Inputs'!$D$46,'Inputs'!$D$8,0)</f>
        <v>1400.0</v>
      </c>
    </row>
    <row r="30" spans="1:48">
      <c r="A30" s="19" t="s">
        <v>237</v>
      </c>
      <c r="B30" s="12" t="s">
        <v>49</v>
      </c>
      <c r="C30" s="14" t="s">
        <v>238</v>
      </c>
      <c r="D30" s="20">
        <f>SUM(D28:D29)</f>
        <v>1800.0</v>
      </c>
      <c r="E30" s="20">
        <f>SUM(E28:E29)</f>
        <v>1800.0</v>
      </c>
      <c r="F30" s="20">
        <f>SUM(F28:F29)</f>
        <v>1800.0</v>
      </c>
      <c r="G30" s="20">
        <f>SUM(G28:G29)</f>
        <v>2600.0</v>
      </c>
      <c r="H30" s="20">
        <f>SUM(H28:H29)</f>
        <v>2600.0</v>
      </c>
      <c r="I30" s="20">
        <f>SUM(I28:I29)</f>
        <v>4000.0</v>
      </c>
      <c r="J30" s="20">
        <f>SUM(J28:J29)</f>
        <v>4000.0</v>
      </c>
      <c r="K30" s="20">
        <f>SUM(K28:K29)</f>
        <v>4000.0</v>
      </c>
      <c r="L30" s="20">
        <f>SUM(L28:L29)</f>
        <v>4800.0</v>
      </c>
      <c r="M30" s="20">
        <f>SUM(M28:M29)</f>
        <v>4800.0</v>
      </c>
      <c r="N30" s="20">
        <f>SUM(N28:N29)</f>
        <v>4800.0</v>
      </c>
      <c r="O30" s="20">
        <f>SUM(O28:O29)</f>
        <v>4800.0</v>
      </c>
      <c r="P30" s="20">
        <f>SUM(P28:P29)</f>
        <v>4800.0</v>
      </c>
      <c r="Q30" s="20">
        <f>SUM(Q28:Q29)</f>
        <v>4800.0</v>
      </c>
      <c r="R30" s="20">
        <f>SUM(R28:R29)</f>
        <v>4800.0</v>
      </c>
      <c r="S30" s="20">
        <f>SUM(S28:S29)</f>
        <v>5363.0</v>
      </c>
      <c r="T30" s="20">
        <f>SUM(T28:T29)</f>
        <v>5363.0</v>
      </c>
      <c r="U30" s="20">
        <f>SUM(U28:U29)</f>
        <v>5363.0</v>
      </c>
      <c r="V30" s="20">
        <f>SUM(V28:V29)</f>
        <v>5363.0</v>
      </c>
      <c r="W30" s="20">
        <f>SUM(W28:W29)</f>
        <v>5363.0</v>
      </c>
      <c r="X30" s="20">
        <f>SUM(X28:X29)</f>
        <v>5363.0</v>
      </c>
      <c r="Y30" s="20">
        <f>SUM(Y28:Y29)</f>
        <v>5363.0</v>
      </c>
      <c r="Z30" s="20">
        <f>SUM(Z28:Z29)</f>
        <v>5363.0</v>
      </c>
      <c r="AA30" s="20">
        <f>SUM(AA28:AA29)</f>
        <v>5363.0</v>
      </c>
      <c r="AB30" s="20">
        <f>SUM(AB28:AB29)</f>
        <v>5363.0</v>
      </c>
      <c r="AC30" s="20">
        <f>SUM(AC28:AC29)</f>
        <v>5363.0</v>
      </c>
      <c r="AD30" s="20">
        <f>SUM(AD28:AD29)</f>
        <v>5363.0</v>
      </c>
      <c r="AE30" s="20">
        <f>SUM(AE28:AE29)</f>
        <v>5363.0</v>
      </c>
      <c r="AF30" s="20">
        <f>SUM(AF28:AF29)</f>
        <v>5363.0</v>
      </c>
      <c r="AG30" s="20">
        <f>SUM(AG28:AG29)</f>
        <v>5363.0</v>
      </c>
      <c r="AH30" s="20">
        <f>SUM(AH28:AH29)</f>
        <v>5363.0</v>
      </c>
      <c r="AI30" s="20">
        <f>SUM(AI28:AI29)</f>
        <v>5363.0</v>
      </c>
      <c r="AJ30" s="20">
        <f>SUM(AJ28:AJ29)</f>
        <v>5363.0</v>
      </c>
      <c r="AK30" s="20">
        <f>SUM(AK28:AK29)</f>
        <v>5363.0</v>
      </c>
      <c r="AL30" s="20">
        <f>SUM(AL28:AL29)</f>
        <v>5363.0</v>
      </c>
      <c r="AM30" s="20">
        <f>SUM(AM28:AM29)</f>
        <v>5363.0</v>
      </c>
      <c r="AN30" s="20">
        <f>SUM(AN28:AN29)</f>
        <v>5363.0</v>
      </c>
      <c r="AO30" s="20">
        <f>SUM(AO28:AO29)</f>
        <v>5363.0</v>
      </c>
      <c r="AP30" s="20">
        <f>SUM(AP28:AP29)</f>
        <v>5363.0</v>
      </c>
      <c r="AQ30" s="20">
        <f>SUM(AQ28:AQ29)</f>
        <v>5363.0</v>
      </c>
      <c r="AR30" s="20">
        <f>SUM(AR28:AR29)</f>
        <v>5363.0</v>
      </c>
      <c r="AS30" s="20">
        <f>SUM(AS28:AS29)</f>
        <v>5363.0</v>
      </c>
      <c r="AT30" s="20">
        <f>SUM(AT28:AT29)</f>
        <v>5363.0</v>
      </c>
      <c r="AU30" s="20">
        <f>SUM(AU28:AU29)</f>
        <v>5363.0</v>
      </c>
    </row>
    <row r="31" spans="1:48">
      <c r="A31" s="5" t="s">
        <v>239</v>
      </c>
      <c r="B31" s="12" t="s">
        <v>49</v>
      </c>
      <c r="C31" s="14" t="s">
        <v>240</v>
      </c>
      <c r="D31" s="21">
        <f>IF(D$5&gt;='Inputs'!$D$59,'Inputs'!$D$9*'Inputs'!$D$47,0)</f>
        <v>0.0</v>
      </c>
      <c r="E31" s="21">
        <f>IF(E$5&gt;='Inputs'!$D$59,'Inputs'!$D$9*'Inputs'!$D$47,0)</f>
        <v>0.0</v>
      </c>
      <c r="F31" s="21">
        <f>IF(F$5&gt;='Inputs'!$D$59,'Inputs'!$D$9*'Inputs'!$D$47,0)</f>
        <v>0.0</v>
      </c>
      <c r="G31" s="21">
        <f>IF(G$5&gt;='Inputs'!$D$59,'Inputs'!$D$9*'Inputs'!$D$47,0)</f>
        <v>0.0</v>
      </c>
      <c r="H31" s="21">
        <f>IF(H$5&gt;='Inputs'!$D$59,'Inputs'!$D$9*'Inputs'!$D$47,0)</f>
        <v>0.0</v>
      </c>
      <c r="I31" s="21">
        <f>IF(I$5&gt;='Inputs'!$D$59,'Inputs'!$D$9*'Inputs'!$D$47,0)</f>
        <v>0.0</v>
      </c>
      <c r="J31" s="21">
        <f>IF(J$5&gt;='Inputs'!$D$59,'Inputs'!$D$9*'Inputs'!$D$47,0)</f>
        <v>0.0</v>
      </c>
      <c r="K31" s="21">
        <f>IF(K$5&gt;='Inputs'!$D$59,'Inputs'!$D$9*'Inputs'!$D$47,0)</f>
        <v>0.0</v>
      </c>
      <c r="L31" s="21">
        <f>IF(L$5&gt;='Inputs'!$D$59,'Inputs'!$D$9*'Inputs'!$D$47,0)</f>
        <v>0.0</v>
      </c>
      <c r="M31" s="21">
        <f>IF(M$5&gt;='Inputs'!$D$59,'Inputs'!$D$9*'Inputs'!$D$47,0)</f>
        <v>0.0</v>
      </c>
      <c r="N31" s="21">
        <f>IF(N$5&gt;='Inputs'!$D$59,'Inputs'!$D$9*'Inputs'!$D$47,0)</f>
        <v>0.0</v>
      </c>
      <c r="O31" s="21">
        <f>IF(O$5&gt;='Inputs'!$D$59,'Inputs'!$D$9*'Inputs'!$D$47,0)</f>
        <v>0.0</v>
      </c>
      <c r="P31" s="21">
        <f>IF(P$5&gt;='Inputs'!$D$59,'Inputs'!$D$9*'Inputs'!$D$47,0)</f>
        <v>0.0</v>
      </c>
      <c r="Q31" s="21">
        <f>IF(Q$5&gt;='Inputs'!$D$59,'Inputs'!$D$9*'Inputs'!$D$47,0)</f>
        <v>0.0</v>
      </c>
      <c r="R31" s="21">
        <f>IF(R$5&gt;='Inputs'!$D$59,'Inputs'!$D$9*'Inputs'!$D$47,0)</f>
        <v>0.0</v>
      </c>
      <c r="S31" s="21">
        <f>IF(S$5&gt;='Inputs'!$D$59,'Inputs'!$D$9*'Inputs'!$D$47,0)</f>
        <v>0.0</v>
      </c>
      <c r="T31" s="21">
        <f>IF(T$5&gt;='Inputs'!$D$59,'Inputs'!$D$9*'Inputs'!$D$47,0)</f>
        <v>0.0</v>
      </c>
      <c r="U31" s="21">
        <f>IF(U$5&gt;='Inputs'!$D$59,'Inputs'!$D$9*'Inputs'!$D$47,0)</f>
        <v>0.0</v>
      </c>
      <c r="V31" s="21">
        <f>IF(V$5&gt;='Inputs'!$D$59,'Inputs'!$D$9*'Inputs'!$D$47,0)</f>
        <v>0.0</v>
      </c>
      <c r="W31" s="21">
        <f>IF(W$5&gt;='Inputs'!$D$59,'Inputs'!$D$9*'Inputs'!$D$47,0)</f>
        <v>0.0</v>
      </c>
      <c r="X31" s="21">
        <f>IF(X$5&gt;='Inputs'!$D$59,'Inputs'!$D$9*'Inputs'!$D$47,0)</f>
        <v>0.0</v>
      </c>
      <c r="Y31" s="21">
        <f>IF(Y$5&gt;='Inputs'!$D$59,'Inputs'!$D$9*'Inputs'!$D$47,0)</f>
        <v>0.0</v>
      </c>
      <c r="Z31" s="21">
        <f>IF(Z$5&gt;='Inputs'!$D$59,'Inputs'!$D$9*'Inputs'!$D$47,0)</f>
        <v>0.0</v>
      </c>
      <c r="AA31" s="21">
        <f>IF(AA$5&gt;='Inputs'!$D$59,'Inputs'!$D$9*'Inputs'!$D$47,0)</f>
        <v>0.0</v>
      </c>
      <c r="AB31" s="21">
        <f>IF(AB$5&gt;='Inputs'!$D$59,'Inputs'!$D$9*'Inputs'!$D$47,0)</f>
        <v>0.0</v>
      </c>
      <c r="AC31" s="21">
        <f>IF(AC$5&gt;='Inputs'!$D$59,'Inputs'!$D$9*'Inputs'!$D$47,0)</f>
        <v>0.0</v>
      </c>
      <c r="AD31" s="21">
        <f>IF(AD$5&gt;='Inputs'!$D$59,'Inputs'!$D$9*'Inputs'!$D$47,0)</f>
        <v>0.0</v>
      </c>
      <c r="AE31" s="21">
        <f>IF(AE$5&gt;='Inputs'!$D$59,'Inputs'!$D$9*'Inputs'!$D$47,0)</f>
        <v>0.0</v>
      </c>
      <c r="AF31" s="21">
        <f>IF(AF$5&gt;='Inputs'!$D$59,'Inputs'!$D$9*'Inputs'!$D$47,0)</f>
        <v>0.0</v>
      </c>
      <c r="AG31" s="21">
        <f>IF(AG$5&gt;='Inputs'!$D$59,'Inputs'!$D$9*'Inputs'!$D$47,0)</f>
        <v>0.0</v>
      </c>
      <c r="AH31" s="21">
        <f>IF(AH$5&gt;='Inputs'!$D$59,'Inputs'!$D$9*'Inputs'!$D$47,0)</f>
        <v>0.0</v>
      </c>
      <c r="AI31" s="21">
        <f>IF(AI$5&gt;='Inputs'!$D$59,'Inputs'!$D$9*'Inputs'!$D$47,0)</f>
        <v>0.0</v>
      </c>
      <c r="AJ31" s="21">
        <f>IF(AJ$5&gt;='Inputs'!$D$59,'Inputs'!$D$9*'Inputs'!$D$47,0)</f>
        <v>0.0</v>
      </c>
      <c r="AK31" s="21">
        <f>IF(AK$5&gt;='Inputs'!$D$59,'Inputs'!$D$9*'Inputs'!$D$47,0)</f>
        <v>0.0</v>
      </c>
      <c r="AL31" s="21">
        <f>IF(AL$5&gt;='Inputs'!$D$59,'Inputs'!$D$9*'Inputs'!$D$47,0)</f>
        <v>0.0</v>
      </c>
      <c r="AM31" s="21">
        <f>IF(AM$5&gt;='Inputs'!$D$59,'Inputs'!$D$9*'Inputs'!$D$47,0)</f>
        <v>0.0</v>
      </c>
      <c r="AN31" s="21">
        <f>IF(AN$5&gt;='Inputs'!$D$59,'Inputs'!$D$9*'Inputs'!$D$47,0)</f>
        <v>0.0</v>
      </c>
      <c r="AO31" s="21">
        <f>IF(AO$5&gt;='Inputs'!$D$59,'Inputs'!$D$9*'Inputs'!$D$47,0)</f>
        <v>0.0</v>
      </c>
      <c r="AP31" s="21">
        <f>IF(AP$5&gt;='Inputs'!$D$59,'Inputs'!$D$9*'Inputs'!$D$47,0)</f>
        <v>0.0</v>
      </c>
      <c r="AQ31" s="21">
        <f>IF(AQ$5&gt;='Inputs'!$D$59,'Inputs'!$D$9*'Inputs'!$D$47,0)</f>
        <v>0.0</v>
      </c>
      <c r="AR31" s="21">
        <f>IF(AR$5&gt;='Inputs'!$D$59,'Inputs'!$D$9*'Inputs'!$D$47,0)</f>
        <v>0.0</v>
      </c>
      <c r="AS31" s="21">
        <f>IF(AS$5&gt;='Inputs'!$D$59,'Inputs'!$D$9*'Inputs'!$D$47,0)</f>
        <v>0.0</v>
      </c>
      <c r="AT31" s="21">
        <f>IF(AT$5&gt;='Inputs'!$D$59,'Inputs'!$D$9*'Inputs'!$D$47,0)</f>
        <v>0.0</v>
      </c>
      <c r="AU31" s="21">
        <f>IF(AU$5&gt;='Inputs'!$D$59,'Inputs'!$D$9*'Inputs'!$D$47,0)</f>
        <v>0.0</v>
      </c>
    </row>
    <row r="32" spans="1:48">
      <c r="A32" s="5" t="s">
        <v>241</v>
      </c>
      <c r="B32" s="12" t="s">
        <v>49</v>
      </c>
      <c r="C32" s="14" t="s">
        <v>242</v>
      </c>
      <c r="D32" s="21">
        <f>'Inputs'!$D$49</f>
        <v>150.0</v>
      </c>
      <c r="E32" s="21">
        <f>'Inputs'!$D$49</f>
        <v>150.0</v>
      </c>
      <c r="F32" s="21">
        <f>'Inputs'!$D$49</f>
        <v>150.0</v>
      </c>
      <c r="G32" s="21">
        <f>'Inputs'!$D$49</f>
        <v>150.0</v>
      </c>
      <c r="H32" s="21">
        <f>'Inputs'!$D$49</f>
        <v>150.0</v>
      </c>
      <c r="I32" s="21">
        <f>'Inputs'!$D$49</f>
        <v>150.0</v>
      </c>
      <c r="J32" s="21">
        <f>'Inputs'!$D$49</f>
        <v>150.0</v>
      </c>
      <c r="K32" s="21">
        <f>'Inputs'!$D$49</f>
        <v>150.0</v>
      </c>
      <c r="L32" s="21">
        <f>'Inputs'!$D$49</f>
        <v>150.0</v>
      </c>
      <c r="M32" s="21">
        <f>'Inputs'!$D$49</f>
        <v>150.0</v>
      </c>
      <c r="N32" s="21">
        <f>'Inputs'!$D$49</f>
        <v>150.0</v>
      </c>
      <c r="O32" s="21">
        <f>'Inputs'!$D$49</f>
        <v>150.0</v>
      </c>
      <c r="P32" s="21">
        <f>'Inputs'!$D$49</f>
        <v>150.0</v>
      </c>
      <c r="Q32" s="21">
        <f>'Inputs'!$D$49</f>
        <v>150.0</v>
      </c>
      <c r="R32" s="21">
        <f>'Inputs'!$D$49</f>
        <v>150.0</v>
      </c>
      <c r="S32" s="21">
        <f>'Inputs'!$D$49</f>
        <v>150.0</v>
      </c>
      <c r="T32" s="21">
        <f>'Inputs'!$D$49</f>
        <v>150.0</v>
      </c>
      <c r="U32" s="21">
        <f>'Inputs'!$D$49</f>
        <v>150.0</v>
      </c>
      <c r="V32" s="21">
        <f>'Inputs'!$D$49</f>
        <v>150.0</v>
      </c>
      <c r="W32" s="21">
        <f>'Inputs'!$D$49</f>
        <v>150.0</v>
      </c>
      <c r="X32" s="21">
        <f>'Inputs'!$D$49</f>
        <v>150.0</v>
      </c>
      <c r="Y32" s="21">
        <f>'Inputs'!$D$49</f>
        <v>150.0</v>
      </c>
      <c r="Z32" s="21">
        <f>'Inputs'!$D$49</f>
        <v>150.0</v>
      </c>
      <c r="AA32" s="21">
        <f>'Inputs'!$D$49</f>
        <v>150.0</v>
      </c>
      <c r="AB32" s="21">
        <f>'Inputs'!$D$49</f>
        <v>150.0</v>
      </c>
      <c r="AC32" s="21">
        <f>'Inputs'!$D$49</f>
        <v>150.0</v>
      </c>
      <c r="AD32" s="21">
        <f>'Inputs'!$D$49</f>
        <v>150.0</v>
      </c>
      <c r="AE32" s="21">
        <f>'Inputs'!$D$49</f>
        <v>150.0</v>
      </c>
      <c r="AF32" s="21">
        <f>'Inputs'!$D$49</f>
        <v>150.0</v>
      </c>
      <c r="AG32" s="21">
        <f>'Inputs'!$D$49</f>
        <v>150.0</v>
      </c>
      <c r="AH32" s="21">
        <f>'Inputs'!$D$49</f>
        <v>150.0</v>
      </c>
      <c r="AI32" s="21">
        <f>'Inputs'!$D$49</f>
        <v>150.0</v>
      </c>
      <c r="AJ32" s="21">
        <f>'Inputs'!$D$49</f>
        <v>150.0</v>
      </c>
      <c r="AK32" s="21">
        <f>'Inputs'!$D$49</f>
        <v>150.0</v>
      </c>
      <c r="AL32" s="21">
        <f>'Inputs'!$D$49</f>
        <v>150.0</v>
      </c>
      <c r="AM32" s="21">
        <f>'Inputs'!$D$49</f>
        <v>150.0</v>
      </c>
      <c r="AN32" s="21">
        <f>'Inputs'!$D$49</f>
        <v>150.0</v>
      </c>
      <c r="AO32" s="21">
        <f>'Inputs'!$D$49</f>
        <v>150.0</v>
      </c>
      <c r="AP32" s="21">
        <f>'Inputs'!$D$49</f>
        <v>150.0</v>
      </c>
      <c r="AQ32" s="21">
        <f>'Inputs'!$D$49</f>
        <v>150.0</v>
      </c>
      <c r="AR32" s="21">
        <f>'Inputs'!$D$49</f>
        <v>150.0</v>
      </c>
      <c r="AS32" s="21">
        <f>'Inputs'!$D$49</f>
        <v>150.0</v>
      </c>
      <c r="AT32" s="21">
        <f>'Inputs'!$D$49</f>
        <v>150.0</v>
      </c>
      <c r="AU32" s="21">
        <f>'Inputs'!$D$49</f>
        <v>150.0</v>
      </c>
    </row>
    <row r="33" spans="1:48">
      <c r="A33" s="19" t="s">
        <v>243</v>
      </c>
      <c r="B33" s="12" t="s">
        <v>49</v>
      </c>
      <c r="C33" s="14" t="s">
        <v>244</v>
      </c>
      <c r="D33" s="20">
        <f>SUM(D30,D31,D32)</f>
        <v>1950.0</v>
      </c>
      <c r="E33" s="20">
        <f>SUM(E30,E31,E32)</f>
        <v>1950.0</v>
      </c>
      <c r="F33" s="20">
        <f>SUM(F30,F31,F32)</f>
        <v>1950.0</v>
      </c>
      <c r="G33" s="20">
        <f>SUM(G30,G31,G32)</f>
        <v>2750.0</v>
      </c>
      <c r="H33" s="20">
        <f>SUM(H30,H31,H32)</f>
        <v>2750.0</v>
      </c>
      <c r="I33" s="20">
        <f>SUM(I30,I31,I32)</f>
        <v>4150.0</v>
      </c>
      <c r="J33" s="20">
        <f>SUM(J30,J31,J32)</f>
        <v>4150.0</v>
      </c>
      <c r="K33" s="20">
        <f>SUM(K30,K31,K32)</f>
        <v>4150.0</v>
      </c>
      <c r="L33" s="20">
        <f>SUM(L30,L31,L32)</f>
        <v>4950.0</v>
      </c>
      <c r="M33" s="20">
        <f>SUM(M30,M31,M32)</f>
        <v>4950.0</v>
      </c>
      <c r="N33" s="20">
        <f>SUM(N30,N31,N32)</f>
        <v>4950.0</v>
      </c>
      <c r="O33" s="20">
        <f>SUM(O30,O31,O32)</f>
        <v>4950.0</v>
      </c>
      <c r="P33" s="20">
        <f>SUM(P30,P31,P32)</f>
        <v>4950.0</v>
      </c>
      <c r="Q33" s="20">
        <f>SUM(Q30,Q31,Q32)</f>
        <v>4950.0</v>
      </c>
      <c r="R33" s="20">
        <f>SUM(R30,R31,R32)</f>
        <v>4950.0</v>
      </c>
      <c r="S33" s="20">
        <f>SUM(S30,S31,S32)</f>
        <v>5513.0</v>
      </c>
      <c r="T33" s="20">
        <f>SUM(T30,T31,T32)</f>
        <v>5513.0</v>
      </c>
      <c r="U33" s="20">
        <f>SUM(U30,U31,U32)</f>
        <v>5513.0</v>
      </c>
      <c r="V33" s="20">
        <f>SUM(V30,V31,V32)</f>
        <v>5513.0</v>
      </c>
      <c r="W33" s="20">
        <f>SUM(W30,W31,W32)</f>
        <v>5513.0</v>
      </c>
      <c r="X33" s="20">
        <f>SUM(X30,X31,X32)</f>
        <v>5513.0</v>
      </c>
      <c r="Y33" s="20">
        <f>SUM(Y30,Y31,Y32)</f>
        <v>5513.0</v>
      </c>
      <c r="Z33" s="20">
        <f>SUM(Z30,Z31,Z32)</f>
        <v>5513.0</v>
      </c>
      <c r="AA33" s="20">
        <f>SUM(AA30,AA31,AA32)</f>
        <v>5513.0</v>
      </c>
      <c r="AB33" s="20">
        <f>SUM(AB30,AB31,AB32)</f>
        <v>5513.0</v>
      </c>
      <c r="AC33" s="20">
        <f>SUM(AC30,AC31,AC32)</f>
        <v>5513.0</v>
      </c>
      <c r="AD33" s="20">
        <f>SUM(AD30,AD31,AD32)</f>
        <v>5513.0</v>
      </c>
      <c r="AE33" s="20">
        <f>SUM(AE30,AE31,AE32)</f>
        <v>5513.0</v>
      </c>
      <c r="AF33" s="20">
        <f>SUM(AF30,AF31,AF32)</f>
        <v>5513.0</v>
      </c>
      <c r="AG33" s="20">
        <f>SUM(AG30,AG31,AG32)</f>
        <v>5513.0</v>
      </c>
      <c r="AH33" s="20">
        <f>SUM(AH30,AH31,AH32)</f>
        <v>5513.0</v>
      </c>
      <c r="AI33" s="20">
        <f>SUM(AI30,AI31,AI32)</f>
        <v>5513.0</v>
      </c>
      <c r="AJ33" s="20">
        <f>SUM(AJ30,AJ31,AJ32)</f>
        <v>5513.0</v>
      </c>
      <c r="AK33" s="20">
        <f>SUM(AK30,AK31,AK32)</f>
        <v>5513.0</v>
      </c>
      <c r="AL33" s="20">
        <f>SUM(AL30,AL31,AL32)</f>
        <v>5513.0</v>
      </c>
      <c r="AM33" s="20">
        <f>SUM(AM30,AM31,AM32)</f>
        <v>5513.0</v>
      </c>
      <c r="AN33" s="20">
        <f>SUM(AN30,AN31,AN32)</f>
        <v>5513.0</v>
      </c>
      <c r="AO33" s="20">
        <f>SUM(AO30,AO31,AO32)</f>
        <v>5513.0</v>
      </c>
      <c r="AP33" s="20">
        <f>SUM(AP30,AP31,AP32)</f>
        <v>5513.0</v>
      </c>
      <c r="AQ33" s="20">
        <f>SUM(AQ30,AQ31,AQ32)</f>
        <v>5513.0</v>
      </c>
      <c r="AR33" s="20">
        <f>SUM(AR30,AR31,AR32)</f>
        <v>5513.0</v>
      </c>
      <c r="AS33" s="20">
        <f>SUM(AS30,AS31,AS32)</f>
        <v>5513.0</v>
      </c>
      <c r="AT33" s="20">
        <f>SUM(AT30,AT31,AT32)</f>
        <v>5513.0</v>
      </c>
      <c r="AU33" s="20">
        <f>SUM(AU30,AU31,AU32)</f>
        <v>5513.0</v>
      </c>
    </row>
    <row r="34" spans="1:48">
      <c r="A34" s="5" t="s">
        <v>245</v>
      </c>
      <c r="B34" s="12" t="s">
        <v>221</v>
      </c>
      <c r="C34" s="14" t="s">
        <v>246</v>
      </c>
      <c r="D34" s="22">
        <f>IFERROR(D33/D15,0)</f>
        <v>0.2322971688335823</v>
      </c>
      <c r="E34" s="22">
        <f>IFERROR(E33/E15,0)</f>
        <v>0.2322971688335823</v>
      </c>
      <c r="F34" s="22">
        <f>IFERROR(F33/F15,0)</f>
        <v>0.2322971688335823</v>
      </c>
      <c r="G34" s="22">
        <f>IFERROR(G33/G15,0)</f>
        <v>0.5345597754460172</v>
      </c>
      <c r="H34" s="22">
        <f>IFERROR(H33/H15,0)</f>
        <v>0.5345597754460172</v>
      </c>
      <c r="I34" s="22">
        <f>IFERROR(I33/I15,0)</f>
        <v>0.8066992974912623</v>
      </c>
      <c r="J34" s="22">
        <f>IFERROR(J33/J15,0)</f>
        <v>0.8066992974912623</v>
      </c>
      <c r="K34" s="22">
        <f>IFERROR(K33/K15,0)</f>
        <v>0.8066992974912623</v>
      </c>
      <c r="L34" s="22">
        <f>IFERROR(L33/L15,0)</f>
        <v>0.24573228792695426</v>
      </c>
      <c r="M34" s="22">
        <f>IFERROR(M33/M15,0)</f>
        <v>0.1862848442037753</v>
      </c>
      <c r="N34" s="22">
        <f>IFERROR(N33/N15,0)</f>
        <v>0.14999751367757633</v>
      </c>
      <c r="O34" s="22">
        <f>IFERROR(O33/O15,0)</f>
        <v>0.1255424830182868</v>
      </c>
      <c r="P34" s="22">
        <f>IFERROR(P33/P15,0)</f>
        <v>0.11323488928441543</v>
      </c>
      <c r="Q34" s="22">
        <f>IFERROR(Q33/Q15,0)</f>
        <v>0.103125</v>
      </c>
      <c r="R34" s="22">
        <f>IFERROR(R33/R15,0)</f>
        <v>0.103125</v>
      </c>
      <c r="S34" s="22">
        <f>IFERROR(S33/S15,0)</f>
        <v>0.10279694201006899</v>
      </c>
      <c r="T34" s="22">
        <f>IFERROR(T33/T15,0)</f>
        <v>0.10279694201006899</v>
      </c>
      <c r="U34" s="22">
        <f>IFERROR(U33/U15,0)</f>
        <v>0.10279694201006899</v>
      </c>
      <c r="V34" s="22">
        <f>IFERROR(V33/V15,0)</f>
        <v>0.10279694201006899</v>
      </c>
      <c r="W34" s="22">
        <f>IFERROR(W33/W15,0)</f>
        <v>0.10279694201006899</v>
      </c>
      <c r="X34" s="22">
        <f>IFERROR(X33/X15,0)</f>
        <v>0.10279694201006899</v>
      </c>
      <c r="Y34" s="22">
        <f>IFERROR(Y33/Y15,0)</f>
        <v>0.10279694201006899</v>
      </c>
      <c r="Z34" s="22">
        <f>IFERROR(Z33/Z15,0)</f>
        <v>0.10279694201006899</v>
      </c>
      <c r="AA34" s="22">
        <f>IFERROR(AA33/AA15,0)</f>
        <v>0.10279694201006899</v>
      </c>
      <c r="AB34" s="22">
        <f>IFERROR(AB33/AB15,0)</f>
        <v>0.10279694201006899</v>
      </c>
      <c r="AC34" s="22">
        <f>IFERROR(AC33/AC15,0)</f>
        <v>0.10279694201006899</v>
      </c>
      <c r="AD34" s="22">
        <f>IFERROR(AD33/AD15,0)</f>
        <v>0.10279694201006899</v>
      </c>
      <c r="AE34" s="22">
        <f>IFERROR(AE33/AE15,0)</f>
        <v>0.10279694201006899</v>
      </c>
      <c r="AF34" s="22">
        <f>IFERROR(AF33/AF15,0)</f>
        <v>0.10279694201006899</v>
      </c>
      <c r="AG34" s="22">
        <f>IFERROR(AG33/AG15,0)</f>
        <v>0.10279694201006899</v>
      </c>
      <c r="AH34" s="22">
        <f>IFERROR(AH33/AH15,0)</f>
        <v>0.10279694201006899</v>
      </c>
      <c r="AI34" s="22">
        <f>IFERROR(AI33/AI15,0)</f>
        <v>0.10279694201006899</v>
      </c>
      <c r="AJ34" s="22">
        <f>IFERROR(AJ33/AJ15,0)</f>
        <v>0.10279694201006899</v>
      </c>
      <c r="AK34" s="22">
        <f>IFERROR(AK33/AK15,0)</f>
        <v>0.10279694201006899</v>
      </c>
      <c r="AL34" s="22">
        <f>IFERROR(AL33/AL15,0)</f>
        <v>0.10279694201006899</v>
      </c>
      <c r="AM34" s="22">
        <f>IFERROR(AM33/AM15,0)</f>
        <v>0.10279694201006899</v>
      </c>
      <c r="AN34" s="22">
        <f>IFERROR(AN33/AN15,0)</f>
        <v>0.10279694201006899</v>
      </c>
      <c r="AO34" s="22">
        <f>IFERROR(AO33/AO15,0)</f>
        <v>0.10279694201006899</v>
      </c>
      <c r="AP34" s="22">
        <f>IFERROR(AP33/AP15,0)</f>
        <v>0.10279694201006899</v>
      </c>
      <c r="AQ34" s="22">
        <f>IFERROR(AQ33/AQ15,0)</f>
        <v>0.10279694201006899</v>
      </c>
      <c r="AR34" s="22">
        <f>IFERROR(AR33/AR15,0)</f>
        <v>0.10279694201006899</v>
      </c>
      <c r="AS34" s="22">
        <f>IFERROR(AS33/AS15,0)</f>
        <v>0.10279694201006899</v>
      </c>
      <c r="AT34" s="22">
        <f>IFERROR(AT33/AT15,0)</f>
        <v>0.10279694201006899</v>
      </c>
      <c r="AU34" s="22">
        <f>IFERROR(AU33/AU15,0)</f>
        <v>0.10279694201006899</v>
      </c>
    </row>
    <row r="35" spans="1:48">
      <c r="A35" s="5" t="s">
        <v>247</v>
      </c>
      <c r="B35" s="12" t="s">
        <v>221</v>
      </c>
      <c r="C35" s="14" t="s">
        <v>248</v>
      </c>
      <c r="D35" s="22">
        <f>IFERROR(D30/D10,0)</f>
        <v>0.34989367120102943</v>
      </c>
      <c r="E35" s="22">
        <f>IFERROR(E30/E10,0)</f>
        <v>0.34989367120102943</v>
      </c>
      <c r="F35" s="22">
        <f>IFERROR(F30/F10,0)</f>
        <v>0.34989367120102943</v>
      </c>
      <c r="G35" s="22">
        <f>IFERROR(G30/G10,0)</f>
        <v>0.5054019695125981</v>
      </c>
      <c r="H35" s="22">
        <f>IFERROR(H30/H10,0)</f>
        <v>0.5054019695125981</v>
      </c>
      <c r="I35" s="22">
        <f>IFERROR(I30/I10,0)</f>
        <v>0.7775414915578432</v>
      </c>
      <c r="J35" s="22">
        <f>IFERROR(J30/J10,0)</f>
        <v>0.7775414915578432</v>
      </c>
      <c r="K35" s="22">
        <f>IFERROR(K30/K10,0)</f>
        <v>0.7775414915578432</v>
      </c>
      <c r="L35" s="22">
        <f>IFERROR(L30/L10,0)</f>
        <v>0.2382858549594708</v>
      </c>
      <c r="M35" s="22">
        <f>IFERROR(M30/M10,0)</f>
        <v>0.18063984892487303</v>
      </c>
      <c r="N35" s="22">
        <f>IFERROR(N30/N10,0)</f>
        <v>0.14545213447522554</v>
      </c>
      <c r="O35" s="22">
        <f>IFERROR(O30/O10,0)</f>
        <v>0.12173816535106599</v>
      </c>
      <c r="P35" s="22">
        <f>IFERROR(P30/P10,0)</f>
        <v>0.1098035290030695</v>
      </c>
      <c r="Q35" s="22">
        <f>IFERROR(Q30/Q10,0)</f>
        <v>0.1</v>
      </c>
      <c r="R35" s="22">
        <f>IFERROR(R30/R10,0)</f>
        <v>0.1</v>
      </c>
      <c r="S35" s="22">
        <f>IFERROR(S30/S10,0)</f>
        <v>0.1</v>
      </c>
      <c r="T35" s="22">
        <f>IFERROR(T30/T10,0)</f>
        <v>0.1</v>
      </c>
      <c r="U35" s="22">
        <f>IFERROR(U30/U10,0)</f>
        <v>0.1</v>
      </c>
      <c r="V35" s="22">
        <f>IFERROR(V30/V10,0)</f>
        <v>0.1</v>
      </c>
      <c r="W35" s="22">
        <f>IFERROR(W30/W10,0)</f>
        <v>0.1</v>
      </c>
      <c r="X35" s="22">
        <f>IFERROR(X30/X10,0)</f>
        <v>0.1</v>
      </c>
      <c r="Y35" s="22">
        <f>IFERROR(Y30/Y10,0)</f>
        <v>0.1</v>
      </c>
      <c r="Z35" s="22">
        <f>IFERROR(Z30/Z10,0)</f>
        <v>0.1</v>
      </c>
      <c r="AA35" s="22">
        <f>IFERROR(AA30/AA10,0)</f>
        <v>0.1</v>
      </c>
      <c r="AB35" s="22">
        <f>IFERROR(AB30/AB10,0)</f>
        <v>0.1</v>
      </c>
      <c r="AC35" s="22">
        <f>IFERROR(AC30/AC10,0)</f>
        <v>0.1</v>
      </c>
      <c r="AD35" s="22">
        <f>IFERROR(AD30/AD10,0)</f>
        <v>0.1</v>
      </c>
      <c r="AE35" s="22">
        <f>IFERROR(AE30/AE10,0)</f>
        <v>0.1</v>
      </c>
      <c r="AF35" s="22">
        <f>IFERROR(AF30/AF10,0)</f>
        <v>0.1</v>
      </c>
      <c r="AG35" s="22">
        <f>IFERROR(AG30/AG10,0)</f>
        <v>0.1</v>
      </c>
      <c r="AH35" s="22">
        <f>IFERROR(AH30/AH10,0)</f>
        <v>0.1</v>
      </c>
      <c r="AI35" s="22">
        <f>IFERROR(AI30/AI10,0)</f>
        <v>0.1</v>
      </c>
      <c r="AJ35" s="22">
        <f>IFERROR(AJ30/AJ10,0)</f>
        <v>0.1</v>
      </c>
      <c r="AK35" s="22">
        <f>IFERROR(AK30/AK10,0)</f>
        <v>0.1</v>
      </c>
      <c r="AL35" s="22">
        <f>IFERROR(AL30/AL10,0)</f>
        <v>0.1</v>
      </c>
      <c r="AM35" s="22">
        <f>IFERROR(AM30/AM10,0)</f>
        <v>0.1</v>
      </c>
      <c r="AN35" s="22">
        <f>IFERROR(AN30/AN10,0)</f>
        <v>0.1</v>
      </c>
      <c r="AO35" s="22">
        <f>IFERROR(AO30/AO10,0)</f>
        <v>0.1</v>
      </c>
      <c r="AP35" s="22">
        <f>IFERROR(AP30/AP10,0)</f>
        <v>0.1</v>
      </c>
      <c r="AQ35" s="22">
        <f>IFERROR(AQ30/AQ10,0)</f>
        <v>0.1</v>
      </c>
      <c r="AR35" s="22">
        <f>IFERROR(AR30/AR10,0)</f>
        <v>0.1</v>
      </c>
      <c r="AS35" s="22">
        <f>IFERROR(AS30/AS10,0)</f>
        <v>0.1</v>
      </c>
      <c r="AT35" s="22">
        <f>IFERROR(AT30/AT10,0)</f>
        <v>0.1</v>
      </c>
      <c r="AU35" s="22">
        <f>IFERROR(AU30/AU10,0)</f>
        <v>0.1</v>
      </c>
    </row>
    <row r="36" spans="1:48">
      <c r="A36" s="5" t="s">
        <v>249</v>
      </c>
      <c r="B36" s="12" t="s">
        <v>49</v>
      </c>
      <c r="C36" s="14" t="s">
        <v>250</v>
      </c>
      <c r="D36" s="21">
        <f>D30/'Inputs'!$D$24</f>
        <v>18000.0</v>
      </c>
      <c r="E36" s="21">
        <f>E30/'Inputs'!$D$24</f>
        <v>18000.0</v>
      </c>
      <c r="F36" s="21">
        <f>F30/'Inputs'!$D$24</f>
        <v>18000.0</v>
      </c>
      <c r="G36" s="21">
        <f>G30/'Inputs'!$D$24</f>
        <v>26000.0</v>
      </c>
      <c r="H36" s="21">
        <f>H30/'Inputs'!$D$24</f>
        <v>26000.0</v>
      </c>
      <c r="I36" s="21">
        <f>I30/'Inputs'!$D$24</f>
        <v>40000.0</v>
      </c>
      <c r="J36" s="21">
        <f>J30/'Inputs'!$D$24</f>
        <v>40000.0</v>
      </c>
      <c r="K36" s="21">
        <f>K30/'Inputs'!$D$24</f>
        <v>40000.0</v>
      </c>
      <c r="L36" s="21">
        <f>L30/'Inputs'!$D$24</f>
        <v>48000.0</v>
      </c>
      <c r="M36" s="21">
        <f>M30/'Inputs'!$D$24</f>
        <v>48000.0</v>
      </c>
      <c r="N36" s="21">
        <f>N30/'Inputs'!$D$24</f>
        <v>48000.0</v>
      </c>
      <c r="O36" s="21">
        <f>O30/'Inputs'!$D$24</f>
        <v>48000.0</v>
      </c>
      <c r="P36" s="21">
        <f>P30/'Inputs'!$D$24</f>
        <v>48000.0</v>
      </c>
      <c r="Q36" s="21">
        <f>Q30/'Inputs'!$D$24</f>
        <v>48000.0</v>
      </c>
      <c r="R36" s="21">
        <f>R30/'Inputs'!$D$24</f>
        <v>48000.0</v>
      </c>
      <c r="S36" s="21">
        <f>S30/'Inputs'!$D$24</f>
        <v>53630.0</v>
      </c>
      <c r="T36" s="21">
        <f>T30/'Inputs'!$D$24</f>
        <v>53630.0</v>
      </c>
      <c r="U36" s="21">
        <f>U30/'Inputs'!$D$24</f>
        <v>53630.0</v>
      </c>
      <c r="V36" s="21">
        <f>V30/'Inputs'!$D$24</f>
        <v>53630.0</v>
      </c>
      <c r="W36" s="21">
        <f>W30/'Inputs'!$D$24</f>
        <v>53630.0</v>
      </c>
      <c r="X36" s="21">
        <f>X30/'Inputs'!$D$24</f>
        <v>53630.0</v>
      </c>
      <c r="Y36" s="21">
        <f>Y30/'Inputs'!$D$24</f>
        <v>53630.0</v>
      </c>
      <c r="Z36" s="21">
        <f>Z30/'Inputs'!$D$24</f>
        <v>53630.0</v>
      </c>
      <c r="AA36" s="21">
        <f>AA30/'Inputs'!$D$24</f>
        <v>53630.0</v>
      </c>
      <c r="AB36" s="21">
        <f>AB30/'Inputs'!$D$24</f>
        <v>53630.0</v>
      </c>
      <c r="AC36" s="21">
        <f>AC30/'Inputs'!$D$24</f>
        <v>53630.0</v>
      </c>
      <c r="AD36" s="21">
        <f>AD30/'Inputs'!$D$24</f>
        <v>53630.0</v>
      </c>
      <c r="AE36" s="21">
        <f>AE30/'Inputs'!$D$24</f>
        <v>53630.0</v>
      </c>
      <c r="AF36" s="21">
        <f>AF30/'Inputs'!$D$24</f>
        <v>53630.0</v>
      </c>
      <c r="AG36" s="21">
        <f>AG30/'Inputs'!$D$24</f>
        <v>53630.0</v>
      </c>
      <c r="AH36" s="21">
        <f>AH30/'Inputs'!$D$24</f>
        <v>53630.0</v>
      </c>
      <c r="AI36" s="21">
        <f>AI30/'Inputs'!$D$24</f>
        <v>53630.0</v>
      </c>
      <c r="AJ36" s="21">
        <f>AJ30/'Inputs'!$D$24</f>
        <v>53630.0</v>
      </c>
      <c r="AK36" s="21">
        <f>AK30/'Inputs'!$D$24</f>
        <v>53630.0</v>
      </c>
      <c r="AL36" s="21">
        <f>AL30/'Inputs'!$D$24</f>
        <v>53630.0</v>
      </c>
      <c r="AM36" s="21">
        <f>AM30/'Inputs'!$D$24</f>
        <v>53630.0</v>
      </c>
      <c r="AN36" s="21">
        <f>AN30/'Inputs'!$D$24</f>
        <v>53630.0</v>
      </c>
      <c r="AO36" s="21">
        <f>AO30/'Inputs'!$D$24</f>
        <v>53630.0</v>
      </c>
      <c r="AP36" s="21">
        <f>AP30/'Inputs'!$D$24</f>
        <v>53630.0</v>
      </c>
      <c r="AQ36" s="21">
        <f>AQ30/'Inputs'!$D$24</f>
        <v>53630.0</v>
      </c>
      <c r="AR36" s="21">
        <f>AR30/'Inputs'!$D$24</f>
        <v>53630.0</v>
      </c>
      <c r="AS36" s="21">
        <f>AS30/'Inputs'!$D$24</f>
        <v>53630.0</v>
      </c>
      <c r="AT36" s="21">
        <f>AT30/'Inputs'!$D$24</f>
        <v>53630.0</v>
      </c>
      <c r="AU36" s="21">
        <f>AU30/'Inputs'!$D$24</f>
        <v>53630.0</v>
      </c>
    </row>
    <row r="37" spans="1:48">
      <c r="A37" s="5" t="s">
        <v>251</v>
      </c>
      <c r="B37" s="12" t="s">
        <v>49</v>
      </c>
      <c r="C37" s="14" t="s">
        <v>252</v>
      </c>
      <c r="D37" s="21">
        <f>D36-D10</f>
        <v>12855.58</v>
      </c>
      <c r="E37" s="21">
        <f>E36-E10</f>
        <v>12855.58</v>
      </c>
      <c r="F37" s="21">
        <f>F36-F10</f>
        <v>12855.58</v>
      </c>
      <c r="G37" s="21">
        <f>G36-G10</f>
        <v>20855.58</v>
      </c>
      <c r="H37" s="21">
        <f>H36-H10</f>
        <v>20855.58</v>
      </c>
      <c r="I37" s="21">
        <f>I36-I10</f>
        <v>34855.58</v>
      </c>
      <c r="J37" s="21">
        <f>J36-J10</f>
        <v>34855.58</v>
      </c>
      <c r="K37" s="21">
        <f>K36-K10</f>
        <v>34855.58</v>
      </c>
      <c r="L37" s="21">
        <f>L36-L10</f>
        <v>27856.127</v>
      </c>
      <c r="M37" s="21">
        <f>M36-M10</f>
        <v>21427.79</v>
      </c>
      <c r="N37" s="21">
        <f>N36-N10</f>
        <v>14999.453000000001</v>
      </c>
      <c r="O37" s="21">
        <f>O36-O10</f>
        <v>8571.116000000002</v>
      </c>
      <c r="P37" s="21">
        <f>P36-P10</f>
        <v>4285.557999999997</v>
      </c>
      <c r="Q37" s="21">
        <f>Q36-Q10</f>
        <v>0.0</v>
      </c>
      <c r="R37" s="21">
        <f>R36-R10</f>
        <v>0.0</v>
      </c>
      <c r="S37" s="21">
        <f>S36-S10</f>
        <v>0.0</v>
      </c>
      <c r="T37" s="21">
        <f>T36-T10</f>
        <v>0.0</v>
      </c>
      <c r="U37" s="21">
        <f>U36-U10</f>
        <v>0.0</v>
      </c>
      <c r="V37" s="21">
        <f>V36-V10</f>
        <v>0.0</v>
      </c>
      <c r="W37" s="21">
        <f>W36-W10</f>
        <v>0.0</v>
      </c>
      <c r="X37" s="21">
        <f>X36-X10</f>
        <v>0.0</v>
      </c>
      <c r="Y37" s="21">
        <f>Y36-Y10</f>
        <v>0.0</v>
      </c>
      <c r="Z37" s="21">
        <f>Z36-Z10</f>
        <v>0.0</v>
      </c>
      <c r="AA37" s="21">
        <f>AA36-AA10</f>
        <v>0.0</v>
      </c>
      <c r="AB37" s="21">
        <f>AB36-AB10</f>
        <v>0.0</v>
      </c>
      <c r="AC37" s="21">
        <f>AC36-AC10</f>
        <v>0.0</v>
      </c>
      <c r="AD37" s="21">
        <f>AD36-AD10</f>
        <v>0.0</v>
      </c>
      <c r="AE37" s="21">
        <f>AE36-AE10</f>
        <v>0.0</v>
      </c>
      <c r="AF37" s="21">
        <f>AF36-AF10</f>
        <v>0.0</v>
      </c>
      <c r="AG37" s="21">
        <f>AG36-AG10</f>
        <v>0.0</v>
      </c>
      <c r="AH37" s="21">
        <f>AH36-AH10</f>
        <v>0.0</v>
      </c>
      <c r="AI37" s="21">
        <f>AI36-AI10</f>
        <v>0.0</v>
      </c>
      <c r="AJ37" s="21">
        <f>AJ36-AJ10</f>
        <v>0.0</v>
      </c>
      <c r="AK37" s="21">
        <f>AK36-AK10</f>
        <v>0.0</v>
      </c>
      <c r="AL37" s="21">
        <f>AL36-AL10</f>
        <v>0.0</v>
      </c>
      <c r="AM37" s="21">
        <f>AM36-AM10</f>
        <v>0.0</v>
      </c>
      <c r="AN37" s="21">
        <f>AN36-AN10</f>
        <v>0.0</v>
      </c>
      <c r="AO37" s="21">
        <f>AO36-AO10</f>
        <v>0.0</v>
      </c>
      <c r="AP37" s="21">
        <f>AP36-AP10</f>
        <v>0.0</v>
      </c>
      <c r="AQ37" s="21">
        <f>AQ36-AQ10</f>
        <v>0.0</v>
      </c>
      <c r="AR37" s="21">
        <f>AR36-AR10</f>
        <v>0.0</v>
      </c>
      <c r="AS37" s="21">
        <f>AS36-AS10</f>
        <v>0.0</v>
      </c>
      <c r="AT37" s="21">
        <f>AT36-AT10</f>
        <v>0.0</v>
      </c>
      <c r="AU37" s="21">
        <f>AU36-AU10</f>
        <v>0.0</v>
      </c>
    </row>
    <row r="38" spans="1:48">
      <c r="A38" s="5" t="s">
        <v>253</v>
      </c>
      <c r="B38" s="12" t="s">
        <v>254</v>
      </c>
      <c r="C38" s="14" t="s">
        <v>255</v>
      </c>
      <c r="D38" s="23">
        <f>MAX(0,D36-D7-D8)/('Inputs'!$D$25*'Inputs'!$D$26)</f>
        <v>35.709944444444446</v>
      </c>
      <c r="E38" s="23">
        <f>MAX(0,E36-E7-E8)/('Inputs'!$D$25*'Inputs'!$D$26)</f>
        <v>35.709944444444446</v>
      </c>
      <c r="F38" s="23">
        <f>MAX(0,F36-F7-F8)/('Inputs'!$D$25*'Inputs'!$D$26)</f>
        <v>35.709944444444446</v>
      </c>
      <c r="G38" s="23">
        <f>MAX(0,G36-G7-G8)/('Inputs'!$D$25*'Inputs'!$D$26)</f>
        <v>57.932166666666674</v>
      </c>
      <c r="H38" s="23">
        <f>MAX(0,H36-H7-H8)/('Inputs'!$D$25*'Inputs'!$D$26)</f>
        <v>57.932166666666674</v>
      </c>
      <c r="I38" s="23">
        <f>MAX(0,I36-I7-I8)/('Inputs'!$D$25*'Inputs'!$D$26)</f>
        <v>96.82105555555556</v>
      </c>
      <c r="J38" s="23">
        <f>MAX(0,J36-J7-J8)/('Inputs'!$D$25*'Inputs'!$D$26)</f>
        <v>96.82105555555556</v>
      </c>
      <c r="K38" s="23">
        <f>MAX(0,K36-K7-K8)/('Inputs'!$D$25*'Inputs'!$D$26)</f>
        <v>96.82105555555556</v>
      </c>
      <c r="L38" s="23">
        <f>MAX(0,L36-L7-L8)/('Inputs'!$D$25*'Inputs'!$D$26)</f>
        <v>119.04327777777779</v>
      </c>
      <c r="M38" s="23">
        <f>MAX(0,M36-M7-M8)/('Inputs'!$D$25*'Inputs'!$D$26)</f>
        <v>119.04327777777779</v>
      </c>
      <c r="N38" s="23">
        <f>MAX(0,N36-N7-N8)/('Inputs'!$D$25*'Inputs'!$D$26)</f>
        <v>119.04327777777779</v>
      </c>
      <c r="O38" s="23">
        <f>MAX(0,O36-O7-O8)/('Inputs'!$D$25*'Inputs'!$D$26)</f>
        <v>119.04327777777779</v>
      </c>
      <c r="P38" s="23">
        <f>MAX(0,P36-P7-P8)/('Inputs'!$D$25*'Inputs'!$D$26)</f>
        <v>119.04327777777779</v>
      </c>
      <c r="Q38" s="23">
        <f>MAX(0,Q36-Q7-Q8)/('Inputs'!$D$25*'Inputs'!$D$26)</f>
        <v>119.04327777777779</v>
      </c>
      <c r="R38" s="23">
        <f>MAX(0,R36-R7-R8)/('Inputs'!$D$25*'Inputs'!$D$26)</f>
        <v>119.04327777777779</v>
      </c>
      <c r="S38" s="23">
        <f>MAX(0,S36-S7-S8)/('Inputs'!$D$25*'Inputs'!$D$26)</f>
        <v>134.68216666666666</v>
      </c>
      <c r="T38" s="23">
        <f>MAX(0,T36-T7-T8)/('Inputs'!$D$25*'Inputs'!$D$26)</f>
        <v>134.68216666666666</v>
      </c>
      <c r="U38" s="23">
        <f>MAX(0,U36-U7-U8)/('Inputs'!$D$25*'Inputs'!$D$26)</f>
        <v>134.68216666666666</v>
      </c>
      <c r="V38" s="23">
        <f>MAX(0,V36-V7-V8)/('Inputs'!$D$25*'Inputs'!$D$26)</f>
        <v>134.68216666666666</v>
      </c>
      <c r="W38" s="23">
        <f>MAX(0,W36-W7-W8)/('Inputs'!$D$25*'Inputs'!$D$26)</f>
        <v>134.68216666666666</v>
      </c>
      <c r="X38" s="23">
        <f>MAX(0,X36-X7-X8)/('Inputs'!$D$25*'Inputs'!$D$26)</f>
        <v>134.68216666666666</v>
      </c>
      <c r="Y38" s="23">
        <f>MAX(0,Y36-Y7-Y8)/('Inputs'!$D$25*'Inputs'!$D$26)</f>
        <v>134.68216666666666</v>
      </c>
      <c r="Z38" s="23">
        <f>MAX(0,Z36-Z7-Z8)/('Inputs'!$D$25*'Inputs'!$D$26)</f>
        <v>134.68216666666666</v>
      </c>
      <c r="AA38" s="23">
        <f>MAX(0,AA36-AA7-AA8)/('Inputs'!$D$25*'Inputs'!$D$26)</f>
        <v>134.68216666666666</v>
      </c>
      <c r="AB38" s="23">
        <f>MAX(0,AB36-AB7-AB8)/('Inputs'!$D$25*'Inputs'!$D$26)</f>
        <v>134.68216666666666</v>
      </c>
      <c r="AC38" s="23">
        <f>MAX(0,AC36-AC7-AC8)/('Inputs'!$D$25*'Inputs'!$D$26)</f>
        <v>134.68216666666666</v>
      </c>
      <c r="AD38" s="23">
        <f>MAX(0,AD36-AD7-AD8)/('Inputs'!$D$25*'Inputs'!$D$26)</f>
        <v>134.68216666666666</v>
      </c>
      <c r="AE38" s="23">
        <f>MAX(0,AE36-AE7-AE8)/('Inputs'!$D$25*'Inputs'!$D$26)</f>
        <v>134.68216666666666</v>
      </c>
      <c r="AF38" s="23">
        <f>MAX(0,AF36-AF7-AF8)/('Inputs'!$D$25*'Inputs'!$D$26)</f>
        <v>134.68216666666666</v>
      </c>
      <c r="AG38" s="23">
        <f>MAX(0,AG36-AG7-AG8)/('Inputs'!$D$25*'Inputs'!$D$26)</f>
        <v>134.68216666666666</v>
      </c>
      <c r="AH38" s="23">
        <f>MAX(0,AH36-AH7-AH8)/('Inputs'!$D$25*'Inputs'!$D$26)</f>
        <v>134.68216666666666</v>
      </c>
      <c r="AI38" s="23">
        <f>MAX(0,AI36-AI7-AI8)/('Inputs'!$D$25*'Inputs'!$D$26)</f>
        <v>134.68216666666666</v>
      </c>
      <c r="AJ38" s="23">
        <f>MAX(0,AJ36-AJ7-AJ8)/('Inputs'!$D$25*'Inputs'!$D$26)</f>
        <v>134.68216666666666</v>
      </c>
      <c r="AK38" s="23">
        <f>MAX(0,AK36-AK7-AK8)/('Inputs'!$D$25*'Inputs'!$D$26)</f>
        <v>134.68216666666666</v>
      </c>
      <c r="AL38" s="23">
        <f>MAX(0,AL36-AL7-AL8)/('Inputs'!$D$25*'Inputs'!$D$26)</f>
        <v>134.68216666666666</v>
      </c>
      <c r="AM38" s="23">
        <f>MAX(0,AM36-AM7-AM8)/('Inputs'!$D$25*'Inputs'!$D$26)</f>
        <v>134.68216666666666</v>
      </c>
      <c r="AN38" s="23">
        <f>MAX(0,AN36-AN7-AN8)/('Inputs'!$D$25*'Inputs'!$D$26)</f>
        <v>134.68216666666666</v>
      </c>
      <c r="AO38" s="23">
        <f>MAX(0,AO36-AO7-AO8)/('Inputs'!$D$25*'Inputs'!$D$26)</f>
        <v>134.68216666666666</v>
      </c>
      <c r="AP38" s="23">
        <f>MAX(0,AP36-AP7-AP8)/('Inputs'!$D$25*'Inputs'!$D$26)</f>
        <v>134.68216666666666</v>
      </c>
      <c r="AQ38" s="23">
        <f>MAX(0,AQ36-AQ7-AQ8)/('Inputs'!$D$25*'Inputs'!$D$26)</f>
        <v>134.68216666666666</v>
      </c>
      <c r="AR38" s="23">
        <f>MAX(0,AR36-AR7-AR8)/('Inputs'!$D$25*'Inputs'!$D$26)</f>
        <v>134.68216666666666</v>
      </c>
      <c r="AS38" s="23">
        <f>MAX(0,AS36-AS7-AS8)/('Inputs'!$D$25*'Inputs'!$D$26)</f>
        <v>134.68216666666666</v>
      </c>
      <c r="AT38" s="23">
        <f>MAX(0,AT36-AT7-AT8)/('Inputs'!$D$25*'Inputs'!$D$26)</f>
        <v>134.68216666666666</v>
      </c>
      <c r="AU38" s="23">
        <f>MAX(0,AU36-AU7-AU8)/('Inputs'!$D$25*'Inputs'!$D$26)</f>
        <v>134.68216666666666</v>
      </c>
    </row>
    <row r="39" spans="1:48">
      <c r="A39" s="3" t="s">
        <v>197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>
      <c r="A40" s="5" t="s">
        <v>256</v>
      </c>
      <c r="B40" s="12" t="s">
        <v>49</v>
      </c>
      <c r="C40" s="14" t="s">
        <v>257</v>
      </c>
      <c r="D40" s="21">
        <f>'Inputs'!$D$38*(D15-D11)</f>
        <v>197.83259999999999</v>
      </c>
      <c r="E40" s="21">
        <f>'Inputs'!$D$38*(E15-E11)</f>
        <v>197.83259999999999</v>
      </c>
      <c r="F40" s="21">
        <f>'Inputs'!$D$38*(F15-F11)</f>
        <v>197.83259999999999</v>
      </c>
      <c r="G40" s="21">
        <f>'Inputs'!$D$38*(G15-G11)</f>
        <v>154.33259999999999</v>
      </c>
      <c r="H40" s="21">
        <f>'Inputs'!$D$38*(H15-H11)</f>
        <v>154.33259999999999</v>
      </c>
      <c r="I40" s="21">
        <f>'Inputs'!$D$38*(I15-I11)</f>
        <v>154.33259999999999</v>
      </c>
      <c r="J40" s="21">
        <f>'Inputs'!$D$38*(J15-J11)</f>
        <v>154.33259999999999</v>
      </c>
      <c r="K40" s="21">
        <f>'Inputs'!$D$38*(K15-K11)</f>
        <v>154.33259999999999</v>
      </c>
      <c r="L40" s="21">
        <f>'Inputs'!$D$38*(L15-L11)</f>
        <v>604.31619</v>
      </c>
      <c r="M40" s="21">
        <f>'Inputs'!$D$38*(M15-M11)</f>
        <v>797.1663</v>
      </c>
      <c r="N40" s="21">
        <f>'Inputs'!$D$38*(N15-N11)</f>
        <v>990.01641</v>
      </c>
      <c r="O40" s="21">
        <f>'Inputs'!$D$38*(O15-O11)</f>
        <v>1182.8665199999998</v>
      </c>
      <c r="P40" s="21">
        <f>'Inputs'!$D$38*(P15-P11)</f>
        <v>1311.43326</v>
      </c>
      <c r="Q40" s="21">
        <f>'Inputs'!$D$38*(Q15-Q11)</f>
        <v>1440.0</v>
      </c>
      <c r="R40" s="21">
        <f>'Inputs'!$D$38*(R15-R11)</f>
        <v>1440.0</v>
      </c>
      <c r="S40" s="21">
        <f>'Inputs'!$D$38*(S15-S11)</f>
        <v>1608.8999999999999</v>
      </c>
      <c r="T40" s="21">
        <f>'Inputs'!$D$38*(T15-T11)</f>
        <v>1608.8999999999999</v>
      </c>
      <c r="U40" s="21">
        <f>'Inputs'!$D$38*(U15-U11)</f>
        <v>1608.8999999999999</v>
      </c>
      <c r="V40" s="21">
        <f>'Inputs'!$D$38*(V15-V11)</f>
        <v>1608.8999999999999</v>
      </c>
      <c r="W40" s="21">
        <f>'Inputs'!$D$38*(W15-W11)</f>
        <v>1608.8999999999999</v>
      </c>
      <c r="X40" s="21">
        <f>'Inputs'!$D$38*(X15-X11)</f>
        <v>1608.8999999999999</v>
      </c>
      <c r="Y40" s="21">
        <f>'Inputs'!$D$38*(Y15-Y11)</f>
        <v>1608.8999999999999</v>
      </c>
      <c r="Z40" s="21">
        <f>'Inputs'!$D$38*(Z15-Z11)</f>
        <v>1608.8999999999999</v>
      </c>
      <c r="AA40" s="21">
        <f>'Inputs'!$D$38*(AA15-AA11)</f>
        <v>1608.8999999999999</v>
      </c>
      <c r="AB40" s="21">
        <f>'Inputs'!$D$38*(AB15-AB11)</f>
        <v>1608.8999999999999</v>
      </c>
      <c r="AC40" s="21">
        <f>'Inputs'!$D$38*(AC15-AC11)</f>
        <v>1608.8999999999999</v>
      </c>
      <c r="AD40" s="21">
        <f>'Inputs'!$D$38*(AD15-AD11)</f>
        <v>1608.8999999999999</v>
      </c>
      <c r="AE40" s="21">
        <f>'Inputs'!$D$38*(AE15-AE11)</f>
        <v>1608.8999999999999</v>
      </c>
      <c r="AF40" s="21">
        <f>'Inputs'!$D$38*(AF15-AF11)</f>
        <v>1608.8999999999999</v>
      </c>
      <c r="AG40" s="21">
        <f>'Inputs'!$D$38*(AG15-AG11)</f>
        <v>1608.8999999999999</v>
      </c>
      <c r="AH40" s="21">
        <f>'Inputs'!$D$38*(AH15-AH11)</f>
        <v>1608.8999999999999</v>
      </c>
      <c r="AI40" s="21">
        <f>'Inputs'!$D$38*(AI15-AI11)</f>
        <v>1608.8999999999999</v>
      </c>
      <c r="AJ40" s="21">
        <f>'Inputs'!$D$38*(AJ15-AJ11)</f>
        <v>1608.8999999999999</v>
      </c>
      <c r="AK40" s="21">
        <f>'Inputs'!$D$38*(AK15-AK11)</f>
        <v>1608.8999999999999</v>
      </c>
      <c r="AL40" s="21">
        <f>'Inputs'!$D$38*(AL15-AL11)</f>
        <v>1608.8999999999999</v>
      </c>
      <c r="AM40" s="21">
        <f>'Inputs'!$D$38*(AM15-AM11)</f>
        <v>1608.8999999999999</v>
      </c>
      <c r="AN40" s="21">
        <f>'Inputs'!$D$38*(AN15-AN11)</f>
        <v>1608.8999999999999</v>
      </c>
      <c r="AO40" s="21">
        <f>'Inputs'!$D$38*(AO15-AO11)</f>
        <v>1608.8999999999999</v>
      </c>
      <c r="AP40" s="21">
        <f>'Inputs'!$D$38*(AP15-AP11)</f>
        <v>1608.8999999999999</v>
      </c>
      <c r="AQ40" s="21">
        <f>'Inputs'!$D$38*(AQ15-AQ11)</f>
        <v>1608.8999999999999</v>
      </c>
      <c r="AR40" s="21">
        <f>'Inputs'!$D$38*(AR15-AR11)</f>
        <v>1608.8999999999999</v>
      </c>
      <c r="AS40" s="21">
        <f>'Inputs'!$D$38*(AS15-AS11)</f>
        <v>1608.8999999999999</v>
      </c>
      <c r="AT40" s="21">
        <f>'Inputs'!$D$38*(AT15-AT11)</f>
        <v>1608.8999999999999</v>
      </c>
      <c r="AU40" s="21">
        <f>'Inputs'!$D$38*(AU15-AU11)</f>
        <v>1608.8999999999999</v>
      </c>
    </row>
    <row r="41" spans="1:48">
      <c r="A41" s="5" t="s">
        <v>130</v>
      </c>
      <c r="B41" s="12" t="s">
        <v>49</v>
      </c>
      <c r="C41" s="14" t="s">
        <v>258</v>
      </c>
      <c r="D41" s="21">
        <f>'Inputs'!$D$39*POWER(1+'Inputs'!$D$56,INT(((YEAR(D$5)-YEAR($D$5))*12+MONTH(D$5)-MONTH($D$5))/12))</f>
        <v>1855.65</v>
      </c>
      <c r="E41" s="21">
        <f>'Inputs'!$D$39*POWER(1+'Inputs'!$D$56,INT(((YEAR(E$5)-YEAR($D$5))*12+MONTH(E$5)-MONTH($D$5))/12))</f>
        <v>1855.65</v>
      </c>
      <c r="F41" s="21">
        <f>'Inputs'!$D$39*POWER(1+'Inputs'!$D$56,INT(((YEAR(F$5)-YEAR($D$5))*12+MONTH(F$5)-MONTH($D$5))/12))</f>
        <v>1855.65</v>
      </c>
      <c r="G41" s="21">
        <f>'Inputs'!$D$39*POWER(1+'Inputs'!$D$56,INT(((YEAR(G$5)-YEAR($D$5))*12+MONTH(G$5)-MONTH($D$5))/12))</f>
        <v>1855.65</v>
      </c>
      <c r="H41" s="21">
        <f>'Inputs'!$D$39*POWER(1+'Inputs'!$D$56,INT(((YEAR(H$5)-YEAR($D$5))*12+MONTH(H$5)-MONTH($D$5))/12))</f>
        <v>1855.65</v>
      </c>
      <c r="I41" s="21">
        <f>'Inputs'!$D$39*POWER(1+'Inputs'!$D$56,INT(((YEAR(I$5)-YEAR($D$5))*12+MONTH(I$5)-MONTH($D$5))/12))</f>
        <v>1855.65</v>
      </c>
      <c r="J41" s="21">
        <f>'Inputs'!$D$39*POWER(1+'Inputs'!$D$56,INT(((YEAR(J$5)-YEAR($D$5))*12+MONTH(J$5)-MONTH($D$5))/12))</f>
        <v>1855.65</v>
      </c>
      <c r="K41" s="21">
        <f>'Inputs'!$D$39*POWER(1+'Inputs'!$D$56,INT(((YEAR(K$5)-YEAR($D$5))*12+MONTH(K$5)-MONTH($D$5))/12))</f>
        <v>1855.65</v>
      </c>
      <c r="L41" s="21">
        <f>'Inputs'!$D$39*POWER(1+'Inputs'!$D$56,INT(((YEAR(L$5)-YEAR($D$5))*12+MONTH(L$5)-MONTH($D$5))/12))</f>
        <v>1855.65</v>
      </c>
      <c r="M41" s="21">
        <f>'Inputs'!$D$39*POWER(1+'Inputs'!$D$56,INT(((YEAR(M$5)-YEAR($D$5))*12+MONTH(M$5)-MONTH($D$5))/12))</f>
        <v>1855.65</v>
      </c>
      <c r="N41" s="21">
        <f>'Inputs'!$D$39*POWER(1+'Inputs'!$D$56,INT(((YEAR(N$5)-YEAR($D$5))*12+MONTH(N$5)-MONTH($D$5))/12))</f>
        <v>1855.65</v>
      </c>
      <c r="O41" s="21">
        <f>'Inputs'!$D$39*POWER(1+'Inputs'!$D$56,INT(((YEAR(O$5)-YEAR($D$5))*12+MONTH(O$5)-MONTH($D$5))/12))</f>
        <v>1855.65</v>
      </c>
      <c r="P41" s="21">
        <f>'Inputs'!$D$39*POWER(1+'Inputs'!$D$56,INT(((YEAR(P$5)-YEAR($D$5))*12+MONTH(P$5)-MONTH($D$5))/12))</f>
        <v>1911.3195</v>
      </c>
      <c r="Q41" s="21">
        <f>'Inputs'!$D$39*POWER(1+'Inputs'!$D$56,INT(((YEAR(Q$5)-YEAR($D$5))*12+MONTH(Q$5)-MONTH($D$5))/12))</f>
        <v>1911.3195</v>
      </c>
      <c r="R41" s="21">
        <f>'Inputs'!$D$39*POWER(1+'Inputs'!$D$56,INT(((YEAR(R$5)-YEAR($D$5))*12+MONTH(R$5)-MONTH($D$5))/12))</f>
        <v>1911.3195</v>
      </c>
      <c r="S41" s="21">
        <f>'Inputs'!$D$39*POWER(1+'Inputs'!$D$56,INT(((YEAR(S$5)-YEAR($D$5))*12+MONTH(S$5)-MONTH($D$5))/12))</f>
        <v>1911.3195</v>
      </c>
      <c r="T41" s="21">
        <f>'Inputs'!$D$39*POWER(1+'Inputs'!$D$56,INT(((YEAR(T$5)-YEAR($D$5))*12+MONTH(T$5)-MONTH($D$5))/12))</f>
        <v>1911.3195</v>
      </c>
      <c r="U41" s="21">
        <f>'Inputs'!$D$39*POWER(1+'Inputs'!$D$56,INT(((YEAR(U$5)-YEAR($D$5))*12+MONTH(U$5)-MONTH($D$5))/12))</f>
        <v>1911.3195</v>
      </c>
      <c r="V41" s="21">
        <f>'Inputs'!$D$39*POWER(1+'Inputs'!$D$56,INT(((YEAR(V$5)-YEAR($D$5))*12+MONTH(V$5)-MONTH($D$5))/12))</f>
        <v>1911.3195</v>
      </c>
      <c r="W41" s="21">
        <f>'Inputs'!$D$39*POWER(1+'Inputs'!$D$56,INT(((YEAR(W$5)-YEAR($D$5))*12+MONTH(W$5)-MONTH($D$5))/12))</f>
        <v>1911.3195</v>
      </c>
      <c r="X41" s="21">
        <f>'Inputs'!$D$39*POWER(1+'Inputs'!$D$56,INT(((YEAR(X$5)-YEAR($D$5))*12+MONTH(X$5)-MONTH($D$5))/12))</f>
        <v>1911.3195</v>
      </c>
      <c r="Y41" s="21">
        <f>'Inputs'!$D$39*POWER(1+'Inputs'!$D$56,INT(((YEAR(Y$5)-YEAR($D$5))*12+MONTH(Y$5)-MONTH($D$5))/12))</f>
        <v>1911.3195</v>
      </c>
      <c r="Z41" s="21">
        <f>'Inputs'!$D$39*POWER(1+'Inputs'!$D$56,INT(((YEAR(Z$5)-YEAR($D$5))*12+MONTH(Z$5)-MONTH($D$5))/12))</f>
        <v>1911.3195</v>
      </c>
      <c r="AA41" s="21">
        <f>'Inputs'!$D$39*POWER(1+'Inputs'!$D$56,INT(((YEAR(AA$5)-YEAR($D$5))*12+MONTH(AA$5)-MONTH($D$5))/12))</f>
        <v>1911.3195</v>
      </c>
      <c r="AB41" s="21">
        <f>'Inputs'!$D$39*POWER(1+'Inputs'!$D$56,INT(((YEAR(AB$5)-YEAR($D$5))*12+MONTH(AB$5)-MONTH($D$5))/12))</f>
        <v>1968.659085</v>
      </c>
      <c r="AC41" s="21">
        <f>'Inputs'!$D$39*POWER(1+'Inputs'!$D$56,INT(((YEAR(AC$5)-YEAR($D$5))*12+MONTH(AC$5)-MONTH($D$5))/12))</f>
        <v>1968.659085</v>
      </c>
      <c r="AD41" s="21">
        <f>'Inputs'!$D$39*POWER(1+'Inputs'!$D$56,INT(((YEAR(AD$5)-YEAR($D$5))*12+MONTH(AD$5)-MONTH($D$5))/12))</f>
        <v>1968.659085</v>
      </c>
      <c r="AE41" s="21">
        <f>'Inputs'!$D$39*POWER(1+'Inputs'!$D$56,INT(((YEAR(AE$5)-YEAR($D$5))*12+MONTH(AE$5)-MONTH($D$5))/12))</f>
        <v>1968.659085</v>
      </c>
      <c r="AF41" s="21">
        <f>'Inputs'!$D$39*POWER(1+'Inputs'!$D$56,INT(((YEAR(AF$5)-YEAR($D$5))*12+MONTH(AF$5)-MONTH($D$5))/12))</f>
        <v>1968.659085</v>
      </c>
      <c r="AG41" s="21">
        <f>'Inputs'!$D$39*POWER(1+'Inputs'!$D$56,INT(((YEAR(AG$5)-YEAR($D$5))*12+MONTH(AG$5)-MONTH($D$5))/12))</f>
        <v>1968.659085</v>
      </c>
      <c r="AH41" s="21">
        <f>'Inputs'!$D$39*POWER(1+'Inputs'!$D$56,INT(((YEAR(AH$5)-YEAR($D$5))*12+MONTH(AH$5)-MONTH($D$5))/12))</f>
        <v>1968.659085</v>
      </c>
      <c r="AI41" s="21">
        <f>'Inputs'!$D$39*POWER(1+'Inputs'!$D$56,INT(((YEAR(AI$5)-YEAR($D$5))*12+MONTH(AI$5)-MONTH($D$5))/12))</f>
        <v>1968.659085</v>
      </c>
      <c r="AJ41" s="21">
        <f>'Inputs'!$D$39*POWER(1+'Inputs'!$D$56,INT(((YEAR(AJ$5)-YEAR($D$5))*12+MONTH(AJ$5)-MONTH($D$5))/12))</f>
        <v>1968.659085</v>
      </c>
      <c r="AK41" s="21">
        <f>'Inputs'!$D$39*POWER(1+'Inputs'!$D$56,INT(((YEAR(AK$5)-YEAR($D$5))*12+MONTH(AK$5)-MONTH($D$5))/12))</f>
        <v>1968.659085</v>
      </c>
      <c r="AL41" s="21">
        <f>'Inputs'!$D$39*POWER(1+'Inputs'!$D$56,INT(((YEAR(AL$5)-YEAR($D$5))*12+MONTH(AL$5)-MONTH($D$5))/12))</f>
        <v>1968.659085</v>
      </c>
      <c r="AM41" s="21">
        <f>'Inputs'!$D$39*POWER(1+'Inputs'!$D$56,INT(((YEAR(AM$5)-YEAR($D$5))*12+MONTH(AM$5)-MONTH($D$5))/12))</f>
        <v>1968.659085</v>
      </c>
      <c r="AN41" s="21">
        <f>'Inputs'!$D$39*POWER(1+'Inputs'!$D$56,INT(((YEAR(AN$5)-YEAR($D$5))*12+MONTH(AN$5)-MONTH($D$5))/12))</f>
        <v>2027.7188575500002</v>
      </c>
      <c r="AO41" s="21">
        <f>'Inputs'!$D$39*POWER(1+'Inputs'!$D$56,INT(((YEAR(AO$5)-YEAR($D$5))*12+MONTH(AO$5)-MONTH($D$5))/12))</f>
        <v>2027.7188575500002</v>
      </c>
      <c r="AP41" s="21">
        <f>'Inputs'!$D$39*POWER(1+'Inputs'!$D$56,INT(((YEAR(AP$5)-YEAR($D$5))*12+MONTH(AP$5)-MONTH($D$5))/12))</f>
        <v>2027.7188575500002</v>
      </c>
      <c r="AQ41" s="21">
        <f>'Inputs'!$D$39*POWER(1+'Inputs'!$D$56,INT(((YEAR(AQ$5)-YEAR($D$5))*12+MONTH(AQ$5)-MONTH($D$5))/12))</f>
        <v>2027.7188575500002</v>
      </c>
      <c r="AR41" s="21">
        <f>'Inputs'!$D$39*POWER(1+'Inputs'!$D$56,INT(((YEAR(AR$5)-YEAR($D$5))*12+MONTH(AR$5)-MONTH($D$5))/12))</f>
        <v>2027.7188575500002</v>
      </c>
      <c r="AS41" s="21">
        <f>'Inputs'!$D$39*POWER(1+'Inputs'!$D$56,INT(((YEAR(AS$5)-YEAR($D$5))*12+MONTH(AS$5)-MONTH($D$5))/12))</f>
        <v>2027.7188575500002</v>
      </c>
      <c r="AT41" s="21">
        <f>'Inputs'!$D$39*POWER(1+'Inputs'!$D$56,INT(((YEAR(AT$5)-YEAR($D$5))*12+MONTH(AT$5)-MONTH($D$5))/12))</f>
        <v>2027.7188575500002</v>
      </c>
      <c r="AU41" s="21">
        <f>'Inputs'!$D$39*POWER(1+'Inputs'!$D$56,INT(((YEAR(AU$5)-YEAR($D$5))*12+MONTH(AU$5)-MONTH($D$5))/12))</f>
        <v>2027.7188575500002</v>
      </c>
    </row>
    <row r="42" spans="1:48">
      <c r="A42" s="19" t="s">
        <v>259</v>
      </c>
      <c r="B42" s="12" t="s">
        <v>49</v>
      </c>
      <c r="C42" s="14" t="s">
        <v>260</v>
      </c>
      <c r="D42" s="20">
        <f>D15-D18-D20-D21-D25-D33-D40-D41</f>
        <v>-6586.37436</v>
      </c>
      <c r="E42" s="20">
        <f>E15-E18-E20-E21-E25-E33-E40-E41</f>
        <v>-6586.37436</v>
      </c>
      <c r="F42" s="20">
        <f>F15-F18-F20-F21-F25-F33-F40-F41</f>
        <v>-6586.37436</v>
      </c>
      <c r="G42" s="20">
        <f>G15-G18-G20-G21-G25-G33-G40-G41</f>
        <v>-9317.37436</v>
      </c>
      <c r="H42" s="20">
        <f>H15-H18-H20-H21-H25-H33-H40-H41</f>
        <v>-9317.37436</v>
      </c>
      <c r="I42" s="20">
        <f>I15-I18-I20-I21-I25-I33-I40-I41</f>
        <v>-10717.37436</v>
      </c>
      <c r="J42" s="20">
        <f>J15-J18-J20-J21-J25-J33-J40-J41</f>
        <v>-10717.37436</v>
      </c>
      <c r="K42" s="20">
        <f>K15-K18-K20-K21-K25-K33-K40-K41</f>
        <v>-10717.37436</v>
      </c>
      <c r="L42" s="20">
        <f>L15-L18-L20-L21-L25-L33-L40-L41</f>
        <v>-4966.950477200001</v>
      </c>
      <c r="M42" s="20">
        <f>M15-M18-M20-M21-M25-M33-M40-M41</f>
        <v>-1986.7734440000017</v>
      </c>
      <c r="N42" s="20">
        <f>N15-N18-N20-N21-N25-N33-N40-N41</f>
        <v>993.403589199997</v>
      </c>
      <c r="O42" s="20">
        <f>O15-O18-O20-O21-O25-O33-O40-O41</f>
        <v>3973.580622399995</v>
      </c>
      <c r="P42" s="20">
        <f>P15-P18-P20-P21-P25-P33-P40-P41</f>
        <v>5904.695811200007</v>
      </c>
      <c r="Q42" s="20">
        <f>Q15-Q18-Q20-Q21-Q25-Q33-Q40-Q41</f>
        <v>7891.4805</v>
      </c>
      <c r="R42" s="20">
        <f>R15-R18-R20-R21-R25-R33-R40-R41</f>
        <v>8966.6805</v>
      </c>
      <c r="S42" s="20">
        <f>S15-S18-S20-S21-S25-S33-S40-S41</f>
        <v>11139.860500000006</v>
      </c>
      <c r="T42" s="20">
        <f>T15-T18-T20-T21-T25-T33-T40-T41</f>
        <v>11139.860500000006</v>
      </c>
      <c r="U42" s="20">
        <f>U15-U18-U20-U21-U25-U33-U40-U41</f>
        <v>11139.860500000006</v>
      </c>
      <c r="V42" s="20">
        <f>V15-V18-V20-V21-V25-V33-V40-V41</f>
        <v>11139.860500000006</v>
      </c>
      <c r="W42" s="20">
        <f>W15-W18-W20-W21-W25-W33-W40-W41</f>
        <v>11139.860500000006</v>
      </c>
      <c r="X42" s="20">
        <f>X15-X18-X20-X21-X25-X33-X40-X41</f>
        <v>11139.860500000006</v>
      </c>
      <c r="Y42" s="20">
        <f>Y15-Y18-Y20-Y21-Y25-Y33-Y40-Y41</f>
        <v>11139.860500000006</v>
      </c>
      <c r="Z42" s="20">
        <f>Z15-Z18-Z20-Z21-Z25-Z33-Z40-Z41</f>
        <v>11139.860500000006</v>
      </c>
      <c r="AA42" s="20">
        <f>AA15-AA18-AA20-AA21-AA25-AA33-AA40-AA41</f>
        <v>11139.860500000006</v>
      </c>
      <c r="AB42" s="20">
        <f>AB15-AB18-AB20-AB21-AB25-AB33-AB40-AB41</f>
        <v>11082.520915000006</v>
      </c>
      <c r="AC42" s="20">
        <f>AC15-AC18-AC20-AC21-AC25-AC33-AC40-AC41</f>
        <v>11082.520915000006</v>
      </c>
      <c r="AD42" s="20">
        <f>AD15-AD18-AD20-AD21-AD25-AD33-AD40-AD41</f>
        <v>11082.520915000006</v>
      </c>
      <c r="AE42" s="20">
        <f>AE15-AE18-AE20-AE21-AE25-AE33-AE40-AE41</f>
        <v>11082.520915000006</v>
      </c>
      <c r="AF42" s="20">
        <f>AF15-AF18-AF20-AF21-AF25-AF33-AF40-AF41</f>
        <v>11082.520915000006</v>
      </c>
      <c r="AG42" s="20">
        <f>AG15-AG18-AG20-AG21-AG25-AG33-AG40-AG41</f>
        <v>11082.520915000006</v>
      </c>
      <c r="AH42" s="20">
        <f>AH15-AH18-AH20-AH21-AH25-AH33-AH40-AH41</f>
        <v>11082.520915000006</v>
      </c>
      <c r="AI42" s="20">
        <f>AI15-AI18-AI20-AI21-AI25-AI33-AI40-AI41</f>
        <v>11082.520915000006</v>
      </c>
      <c r="AJ42" s="20">
        <f>AJ15-AJ18-AJ20-AJ21-AJ25-AJ33-AJ40-AJ41</f>
        <v>11082.520915000006</v>
      </c>
      <c r="AK42" s="20">
        <f>AK15-AK18-AK20-AK21-AK25-AK33-AK40-AK41</f>
        <v>11082.520915000006</v>
      </c>
      <c r="AL42" s="20">
        <f>AL15-AL18-AL20-AL21-AL25-AL33-AL40-AL41</f>
        <v>11082.520915000006</v>
      </c>
      <c r="AM42" s="20">
        <f>AM15-AM18-AM20-AM21-AM25-AM33-AM40-AM41</f>
        <v>11082.520915000006</v>
      </c>
      <c r="AN42" s="20">
        <f>AN15-AN18-AN20-AN21-AN25-AN33-AN40-AN41</f>
        <v>11023.461142450005</v>
      </c>
      <c r="AO42" s="20">
        <f>AO15-AO18-AO20-AO21-AO25-AO33-AO40-AO41</f>
        <v>11023.461142450005</v>
      </c>
      <c r="AP42" s="20">
        <f>AP15-AP18-AP20-AP21-AP25-AP33-AP40-AP41</f>
        <v>11023.461142450005</v>
      </c>
      <c r="AQ42" s="20">
        <f>AQ15-AQ18-AQ20-AQ21-AQ25-AQ33-AQ40-AQ41</f>
        <v>11023.461142450005</v>
      </c>
      <c r="AR42" s="20">
        <f>AR15-AR18-AR20-AR21-AR25-AR33-AR40-AR41</f>
        <v>11023.461142450005</v>
      </c>
      <c r="AS42" s="20">
        <f>AS15-AS18-AS20-AS21-AS25-AS33-AS40-AS41</f>
        <v>11023.461142450005</v>
      </c>
      <c r="AT42" s="20">
        <f>AT15-AT18-AT20-AT21-AT25-AT33-AT40-AT41</f>
        <v>11023.461142450005</v>
      </c>
      <c r="AU42" s="20">
        <f>AU15-AU18-AU20-AU21-AU25-AU33-AU40-AU41</f>
        <v>11023.461142450005</v>
      </c>
    </row>
    <row r="43" spans="1:48">
      <c r="A43" s="5" t="s">
        <v>261</v>
      </c>
      <c r="B43" s="12" t="s">
        <v>221</v>
      </c>
      <c r="C43" s="14" t="s">
        <v>262</v>
      </c>
      <c r="D43" s="22">
        <f>IFERROR(D42/D15,0)</f>
        <v>-0.7846133931826141</v>
      </c>
      <c r="E43" s="22">
        <f>IFERROR(E42/E15,0)</f>
        <v>-0.7846133931826141</v>
      </c>
      <c r="F43" s="22">
        <f>IFERROR(F42/F15,0)</f>
        <v>-0.7846133931826141</v>
      </c>
      <c r="G43" s="22">
        <f>IFERROR(G42/G15,0)</f>
        <v>-1.8111612893193012</v>
      </c>
      <c r="H43" s="22">
        <f>IFERROR(H42/H15,0)</f>
        <v>-1.8111612893193012</v>
      </c>
      <c r="I43" s="22">
        <f>IFERROR(I42/I15,0)</f>
        <v>-2.0833008113645466</v>
      </c>
      <c r="J43" s="22">
        <f>IFERROR(J42/J15,0)</f>
        <v>-2.0833008113645466</v>
      </c>
      <c r="K43" s="22">
        <f>IFERROR(K42/K15,0)</f>
        <v>-2.0833008113645466</v>
      </c>
      <c r="L43" s="22">
        <f>IFERROR(L42/L15,0)</f>
        <v>-0.24657375854186536</v>
      </c>
      <c r="M43" s="22">
        <f>IFERROR(M42/M15,0)</f>
        <v>-0.07476884474418959</v>
      </c>
      <c r="N43" s="22">
        <f>IFERROR(N42/N15,0)</f>
        <v>0.030102640092602013</v>
      </c>
      <c r="O43" s="22">
        <f>IFERROR(O42/O15,0)</f>
        <v>0.1007784197594838</v>
      </c>
      <c r="P43" s="22">
        <f>IFERROR(P42/P15,0)</f>
        <v>0.13507425786654229</v>
      </c>
      <c r="Q43" s="22">
        <f>IFERROR(Q42/Q15,0)</f>
        <v>0.16440584375</v>
      </c>
      <c r="R43" s="22">
        <f>IFERROR(R42/R15,0)</f>
        <v>0.18680584375</v>
      </c>
      <c r="S43" s="22">
        <f>IFERROR(S42/S15,0)</f>
        <v>0.20771695879172117</v>
      </c>
      <c r="T43" s="22">
        <f>IFERROR(T42/T15,0)</f>
        <v>0.20771695879172117</v>
      </c>
      <c r="U43" s="22">
        <f>IFERROR(U42/U15,0)</f>
        <v>0.20771695879172117</v>
      </c>
      <c r="V43" s="22">
        <f>IFERROR(V42/V15,0)</f>
        <v>0.20771695879172117</v>
      </c>
      <c r="W43" s="22">
        <f>IFERROR(W42/W15,0)</f>
        <v>0.20771695879172117</v>
      </c>
      <c r="X43" s="22">
        <f>IFERROR(X42/X15,0)</f>
        <v>0.20771695879172117</v>
      </c>
      <c r="Y43" s="22">
        <f>IFERROR(Y42/Y15,0)</f>
        <v>0.20771695879172117</v>
      </c>
      <c r="Z43" s="22">
        <f>IFERROR(Z42/Z15,0)</f>
        <v>0.20771695879172117</v>
      </c>
      <c r="AA43" s="22">
        <f>IFERROR(AA42/AA15,0)</f>
        <v>0.20771695879172117</v>
      </c>
      <c r="AB43" s="22">
        <f>IFERROR(AB42/AB15,0)</f>
        <v>0.20664778883087837</v>
      </c>
      <c r="AC43" s="22">
        <f>IFERROR(AC42/AC15,0)</f>
        <v>0.20664778883087837</v>
      </c>
      <c r="AD43" s="22">
        <f>IFERROR(AD42/AD15,0)</f>
        <v>0.20664778883087837</v>
      </c>
      <c r="AE43" s="22">
        <f>IFERROR(AE42/AE15,0)</f>
        <v>0.20664778883087837</v>
      </c>
      <c r="AF43" s="22">
        <f>IFERROR(AF42/AF15,0)</f>
        <v>0.20664778883087837</v>
      </c>
      <c r="AG43" s="22">
        <f>IFERROR(AG42/AG15,0)</f>
        <v>0.20664778883087837</v>
      </c>
      <c r="AH43" s="22">
        <f>IFERROR(AH42/AH15,0)</f>
        <v>0.20664778883087837</v>
      </c>
      <c r="AI43" s="22">
        <f>IFERROR(AI42/AI15,0)</f>
        <v>0.20664778883087837</v>
      </c>
      <c r="AJ43" s="22">
        <f>IFERROR(AJ42/AJ15,0)</f>
        <v>0.20664778883087837</v>
      </c>
      <c r="AK43" s="22">
        <f>IFERROR(AK42/AK15,0)</f>
        <v>0.20664778883087837</v>
      </c>
      <c r="AL43" s="22">
        <f>IFERROR(AL42/AL15,0)</f>
        <v>0.20664778883087837</v>
      </c>
      <c r="AM43" s="22">
        <f>IFERROR(AM42/AM15,0)</f>
        <v>0.20664778883087837</v>
      </c>
      <c r="AN43" s="22">
        <f>IFERROR(AN42/AN15,0)</f>
        <v>0.20554654377121023</v>
      </c>
      <c r="AO43" s="22">
        <f>IFERROR(AO42/AO15,0)</f>
        <v>0.20554654377121023</v>
      </c>
      <c r="AP43" s="22">
        <f>IFERROR(AP42/AP15,0)</f>
        <v>0.20554654377121023</v>
      </c>
      <c r="AQ43" s="22">
        <f>IFERROR(AQ42/AQ15,0)</f>
        <v>0.20554654377121023</v>
      </c>
      <c r="AR43" s="22">
        <f>IFERROR(AR42/AR15,0)</f>
        <v>0.20554654377121023</v>
      </c>
      <c r="AS43" s="22">
        <f>IFERROR(AS42/AS15,0)</f>
        <v>0.20554654377121023</v>
      </c>
      <c r="AT43" s="22">
        <f>IFERROR(AT42/AT15,0)</f>
        <v>0.20554654377121023</v>
      </c>
      <c r="AU43" s="22">
        <f>IFERROR(AU42/AU15,0)</f>
        <v>0.20554654377121023</v>
      </c>
    </row>
    <row r="44" spans="1:48">
      <c r="A44" s="5" t="s">
        <v>263</v>
      </c>
      <c r="B44" s="12" t="s">
        <v>49</v>
      </c>
      <c r="C44" s="14" t="s">
        <v>264</v>
      </c>
      <c r="D44" s="21">
        <f>IF(D$5&gt;='Inputs'!$D$33,'Inputs'!$D$32,0)</f>
        <v>7500.0</v>
      </c>
      <c r="E44" s="21">
        <f>IF(E$5&gt;='Inputs'!$D$33,'Inputs'!$D$32,0)</f>
        <v>7500.0</v>
      </c>
      <c r="F44" s="21">
        <f>IF(F$5&gt;='Inputs'!$D$33,'Inputs'!$D$32,0)</f>
        <v>7500.0</v>
      </c>
      <c r="G44" s="21">
        <f>IF(G$5&gt;='Inputs'!$D$33,'Inputs'!$D$32,0)</f>
        <v>7500.0</v>
      </c>
      <c r="H44" s="21">
        <f>IF(H$5&gt;='Inputs'!$D$33,'Inputs'!$D$32,0)</f>
        <v>7500.0</v>
      </c>
      <c r="I44" s="21">
        <f>IF(I$5&gt;='Inputs'!$D$33,'Inputs'!$D$32,0)</f>
        <v>7500.0</v>
      </c>
      <c r="J44" s="21">
        <f>IF(J$5&gt;='Inputs'!$D$33,'Inputs'!$D$32,0)</f>
        <v>7500.0</v>
      </c>
      <c r="K44" s="21">
        <f>IF(K$5&gt;='Inputs'!$D$33,'Inputs'!$D$32,0)</f>
        <v>7500.0</v>
      </c>
      <c r="L44" s="21">
        <f>IF(L$5&gt;='Inputs'!$D$33,'Inputs'!$D$32,0)</f>
        <v>7500.0</v>
      </c>
      <c r="M44" s="21">
        <f>IF(M$5&gt;='Inputs'!$D$33,'Inputs'!$D$32,0)</f>
        <v>7500.0</v>
      </c>
      <c r="N44" s="21">
        <f>IF(N$5&gt;='Inputs'!$D$33,'Inputs'!$D$32,0)</f>
        <v>7500.0</v>
      </c>
      <c r="O44" s="21">
        <f>IF(O$5&gt;='Inputs'!$D$33,'Inputs'!$D$32,0)</f>
        <v>7500.0</v>
      </c>
      <c r="P44" s="21">
        <f>IF(P$5&gt;='Inputs'!$D$33,'Inputs'!$D$32,0)</f>
        <v>7500.0</v>
      </c>
      <c r="Q44" s="21">
        <f>IF(Q$5&gt;='Inputs'!$D$33,'Inputs'!$D$32,0)</f>
        <v>7500.0</v>
      </c>
      <c r="R44" s="21">
        <f>IF(R$5&gt;='Inputs'!$D$33,'Inputs'!$D$32,0)</f>
        <v>7500.0</v>
      </c>
      <c r="S44" s="21">
        <f>IF(S$5&gt;='Inputs'!$D$33,'Inputs'!$D$32,0)</f>
        <v>7500.0</v>
      </c>
      <c r="T44" s="21">
        <f>IF(T$5&gt;='Inputs'!$D$33,'Inputs'!$D$32,0)</f>
        <v>7500.0</v>
      </c>
      <c r="U44" s="21">
        <f>IF(U$5&gt;='Inputs'!$D$33,'Inputs'!$D$32,0)</f>
        <v>7500.0</v>
      </c>
      <c r="V44" s="21">
        <f>IF(V$5&gt;='Inputs'!$D$33,'Inputs'!$D$32,0)</f>
        <v>7500.0</v>
      </c>
      <c r="W44" s="21">
        <f>IF(W$5&gt;='Inputs'!$D$33,'Inputs'!$D$32,0)</f>
        <v>7500.0</v>
      </c>
      <c r="X44" s="21">
        <f>IF(X$5&gt;='Inputs'!$D$33,'Inputs'!$D$32,0)</f>
        <v>7500.0</v>
      </c>
      <c r="Y44" s="21">
        <f>IF(Y$5&gt;='Inputs'!$D$33,'Inputs'!$D$32,0)</f>
        <v>7500.0</v>
      </c>
      <c r="Z44" s="21">
        <f>IF(Z$5&gt;='Inputs'!$D$33,'Inputs'!$D$32,0)</f>
        <v>7500.0</v>
      </c>
      <c r="AA44" s="21">
        <f>IF(AA$5&gt;='Inputs'!$D$33,'Inputs'!$D$32,0)</f>
        <v>7500.0</v>
      </c>
      <c r="AB44" s="21">
        <f>IF(AB$5&gt;='Inputs'!$D$33,'Inputs'!$D$32,0)</f>
        <v>7500.0</v>
      </c>
      <c r="AC44" s="21">
        <f>IF(AC$5&gt;='Inputs'!$D$33,'Inputs'!$D$32,0)</f>
        <v>7500.0</v>
      </c>
      <c r="AD44" s="21">
        <f>IF(AD$5&gt;='Inputs'!$D$33,'Inputs'!$D$32,0)</f>
        <v>7500.0</v>
      </c>
      <c r="AE44" s="21">
        <f>IF(AE$5&gt;='Inputs'!$D$33,'Inputs'!$D$32,0)</f>
        <v>7500.0</v>
      </c>
      <c r="AF44" s="21">
        <f>IF(AF$5&gt;='Inputs'!$D$33,'Inputs'!$D$32,0)</f>
        <v>7500.0</v>
      </c>
      <c r="AG44" s="21">
        <f>IF(AG$5&gt;='Inputs'!$D$33,'Inputs'!$D$32,0)</f>
        <v>7500.0</v>
      </c>
      <c r="AH44" s="21">
        <f>IF(AH$5&gt;='Inputs'!$D$33,'Inputs'!$D$32,0)</f>
        <v>7500.0</v>
      </c>
      <c r="AI44" s="21">
        <f>IF(AI$5&gt;='Inputs'!$D$33,'Inputs'!$D$32,0)</f>
        <v>7500.0</v>
      </c>
      <c r="AJ44" s="21">
        <f>IF(AJ$5&gt;='Inputs'!$D$33,'Inputs'!$D$32,0)</f>
        <v>7500.0</v>
      </c>
      <c r="AK44" s="21">
        <f>IF(AK$5&gt;='Inputs'!$D$33,'Inputs'!$D$32,0)</f>
        <v>7500.0</v>
      </c>
      <c r="AL44" s="21">
        <f>IF(AL$5&gt;='Inputs'!$D$33,'Inputs'!$D$32,0)</f>
        <v>7500.0</v>
      </c>
      <c r="AM44" s="21">
        <f>IF(AM$5&gt;='Inputs'!$D$33,'Inputs'!$D$32,0)</f>
        <v>7500.0</v>
      </c>
      <c r="AN44" s="21">
        <f>IF(AN$5&gt;='Inputs'!$D$33,'Inputs'!$D$32,0)</f>
        <v>7500.0</v>
      </c>
      <c r="AO44" s="21">
        <f>IF(AO$5&gt;='Inputs'!$D$33,'Inputs'!$D$32,0)</f>
        <v>7500.0</v>
      </c>
      <c r="AP44" s="21">
        <f>IF(AP$5&gt;='Inputs'!$D$33,'Inputs'!$D$32,0)</f>
        <v>7500.0</v>
      </c>
      <c r="AQ44" s="21">
        <f>IF(AQ$5&gt;='Inputs'!$D$33,'Inputs'!$D$32,0)</f>
        <v>7500.0</v>
      </c>
      <c r="AR44" s="21">
        <f>IF(AR$5&gt;='Inputs'!$D$33,'Inputs'!$D$32,0)</f>
        <v>7500.0</v>
      </c>
      <c r="AS44" s="21">
        <f>IF(AS$5&gt;='Inputs'!$D$33,'Inputs'!$D$32,0)</f>
        <v>7500.0</v>
      </c>
      <c r="AT44" s="21">
        <f>IF(AT$5&gt;='Inputs'!$D$33,'Inputs'!$D$32,0)</f>
        <v>7500.0</v>
      </c>
      <c r="AU44" s="21">
        <f>IF(AU$5&gt;='Inputs'!$D$33,'Inputs'!$D$32,0)</f>
        <v>7500.0</v>
      </c>
    </row>
    <row r="45" spans="1:48">
      <c r="A45" s="5" t="s">
        <v>265</v>
      </c>
      <c r="B45" s="12" t="s">
        <v>49</v>
      </c>
      <c r="C45" s="14" t="s">
        <v>266</v>
      </c>
      <c r="D45" s="21">
        <f>MIN(MAX(0,IF(D$5&gt;='Inputs'!$D$35,'Inputs'!$D$36,0)),MAX(0,'Inputs'!$D$34+D23-D44))</f>
        <v>0.0</v>
      </c>
      <c r="E45" s="21">
        <f>MIN(MAX(0,IF(E$5&gt;='Inputs'!$D$35,'Inputs'!$D$36,0)),MAX(0,D47+E23-E44))</f>
        <v>0.0</v>
      </c>
      <c r="F45" s="21">
        <f>MIN(MAX(0,IF(F$5&gt;='Inputs'!$D$35,'Inputs'!$D$36,0)),MAX(0,E47+F23-F44))</f>
        <v>0.0</v>
      </c>
      <c r="G45" s="21">
        <f>MIN(MAX(0,IF(G$5&gt;='Inputs'!$D$35,'Inputs'!$D$36,0)),MAX(0,F47+G23-G44))</f>
        <v>0.0</v>
      </c>
      <c r="H45" s="21">
        <f>MIN(MAX(0,IF(H$5&gt;='Inputs'!$D$35,'Inputs'!$D$36,0)),MAX(0,G47+H23-H44))</f>
        <v>0.0</v>
      </c>
      <c r="I45" s="21">
        <f>MIN(MAX(0,IF(I$5&gt;='Inputs'!$D$35,'Inputs'!$D$36,0)),MAX(0,H47+I23-I44))</f>
        <v>0.0</v>
      </c>
      <c r="J45" s="21">
        <f>MIN(MAX(0,IF(J$5&gt;='Inputs'!$D$35,'Inputs'!$D$36,0)),MAX(0,I47+J23-J44))</f>
        <v>0.0</v>
      </c>
      <c r="K45" s="21">
        <f>MIN(MAX(0,IF(K$5&gt;='Inputs'!$D$35,'Inputs'!$D$36,0)),MAX(0,J47+K23-K44))</f>
        <v>0.0</v>
      </c>
      <c r="L45" s="21">
        <f>MIN(MAX(0,IF(L$5&gt;='Inputs'!$D$35,'Inputs'!$D$36,0)),MAX(0,K47+L23-L44))</f>
        <v>0.0</v>
      </c>
      <c r="M45" s="21">
        <f>MIN(MAX(0,IF(M$5&gt;='Inputs'!$D$35,'Inputs'!$D$36,0)),MAX(0,L47+M23-M44))</f>
        <v>0.0</v>
      </c>
      <c r="N45" s="21">
        <f>MIN(MAX(0,IF(N$5&gt;='Inputs'!$D$35,'Inputs'!$D$36,0)),MAX(0,M47+N23-N44))</f>
        <v>0.0</v>
      </c>
      <c r="O45" s="21">
        <f>MIN(MAX(0,IF(O$5&gt;='Inputs'!$D$35,'Inputs'!$D$36,0)),MAX(0,N47+O23-O44))</f>
        <v>0.0</v>
      </c>
      <c r="P45" s="21">
        <f>MIN(MAX(0,IF(P$5&gt;='Inputs'!$D$35,'Inputs'!$D$36,0)),MAX(0,O47+P23-P44))</f>
        <v>0.0</v>
      </c>
      <c r="Q45" s="21">
        <f>MIN(MAX(0,IF(Q$5&gt;='Inputs'!$D$35,'Inputs'!$D$36,0)),MAX(0,P47+Q23-Q44))</f>
        <v>0.0</v>
      </c>
      <c r="R45" s="21">
        <f>MIN(MAX(0,IF(R$5&gt;='Inputs'!$D$35,'Inputs'!$D$36,0)),MAX(0,Q47+R23-R44))</f>
        <v>0.0</v>
      </c>
      <c r="S45" s="21">
        <f>MIN(MAX(0,IF(S$5&gt;='Inputs'!$D$35,'Inputs'!$D$36,0)),MAX(0,R47+S23-S44))</f>
        <v>0.0</v>
      </c>
      <c r="T45" s="21">
        <f>MIN(MAX(0,IF(T$5&gt;='Inputs'!$D$35,'Inputs'!$D$36,0)),MAX(0,S47+T23-T44))</f>
        <v>0.0</v>
      </c>
      <c r="U45" s="21">
        <f>MIN(MAX(0,IF(U$5&gt;='Inputs'!$D$35,'Inputs'!$D$36,0)),MAX(0,T47+U23-U44))</f>
        <v>0.0</v>
      </c>
      <c r="V45" s="21">
        <f>MIN(MAX(0,IF(V$5&gt;='Inputs'!$D$35,'Inputs'!$D$36,0)),MAX(0,U47+V23-V44))</f>
        <v>0.0</v>
      </c>
      <c r="W45" s="21">
        <f>MIN(MAX(0,IF(W$5&gt;='Inputs'!$D$35,'Inputs'!$D$36,0)),MAX(0,V47+W23-W44))</f>
        <v>0.0</v>
      </c>
      <c r="X45" s="21">
        <f>MIN(MAX(0,IF(X$5&gt;='Inputs'!$D$35,'Inputs'!$D$36,0)),MAX(0,W47+X23-X44))</f>
        <v>0.0</v>
      </c>
      <c r="Y45" s="21">
        <f>MIN(MAX(0,IF(Y$5&gt;='Inputs'!$D$35,'Inputs'!$D$36,0)),MAX(0,X47+Y23-Y44))</f>
        <v>0.0</v>
      </c>
      <c r="Z45" s="21">
        <f>MIN(MAX(0,IF(Z$5&gt;='Inputs'!$D$35,'Inputs'!$D$36,0)),MAX(0,Y47+Z23-Z44))</f>
        <v>0.0</v>
      </c>
      <c r="AA45" s="21">
        <f>MIN(MAX(0,IF(AA$5&gt;='Inputs'!$D$35,'Inputs'!$D$36,0)),MAX(0,Z47+AA23-AA44))</f>
        <v>0.0</v>
      </c>
      <c r="AB45" s="21">
        <f>MIN(MAX(0,IF(AB$5&gt;='Inputs'!$D$35,'Inputs'!$D$36,0)),MAX(0,AA47+AB23-AB44))</f>
        <v>0.0</v>
      </c>
      <c r="AC45" s="21">
        <f>MIN(MAX(0,IF(AC$5&gt;='Inputs'!$D$35,'Inputs'!$D$36,0)),MAX(0,AB47+AC23-AC44))</f>
        <v>0.0</v>
      </c>
      <c r="AD45" s="21">
        <f>MIN(MAX(0,IF(AD$5&gt;='Inputs'!$D$35,'Inputs'!$D$36,0)),MAX(0,AC47+AD23-AD44))</f>
        <v>0.0</v>
      </c>
      <c r="AE45" s="21">
        <f>MIN(MAX(0,IF(AE$5&gt;='Inputs'!$D$35,'Inputs'!$D$36,0)),MAX(0,AD47+AE23-AE44))</f>
        <v>0.0</v>
      </c>
      <c r="AF45" s="21">
        <f>MIN(MAX(0,IF(AF$5&gt;='Inputs'!$D$35,'Inputs'!$D$36,0)),MAX(0,AE47+AF23-AF44))</f>
        <v>0.0</v>
      </c>
      <c r="AG45" s="21">
        <f>MIN(MAX(0,IF(AG$5&gt;='Inputs'!$D$35,'Inputs'!$D$36,0)),MAX(0,AF47+AG23-AG44))</f>
        <v>0.0</v>
      </c>
      <c r="AH45" s="21">
        <f>MIN(MAX(0,IF(AH$5&gt;='Inputs'!$D$35,'Inputs'!$D$36,0)),MAX(0,AG47+AH23-AH44))</f>
        <v>0.0</v>
      </c>
      <c r="AI45" s="21">
        <f>MIN(MAX(0,IF(AI$5&gt;='Inputs'!$D$35,'Inputs'!$D$36,0)),MAX(0,AH47+AI23-AI44))</f>
        <v>0.0</v>
      </c>
      <c r="AJ45" s="21">
        <f>MIN(MAX(0,IF(AJ$5&gt;='Inputs'!$D$35,'Inputs'!$D$36,0)),MAX(0,AI47+AJ23-AJ44))</f>
        <v>0.0</v>
      </c>
      <c r="AK45" s="21">
        <f>MIN(MAX(0,IF(AK$5&gt;='Inputs'!$D$35,'Inputs'!$D$36,0)),MAX(0,AJ47+AK23-AK44))</f>
        <v>0.0</v>
      </c>
      <c r="AL45" s="21">
        <f>MIN(MAX(0,IF(AL$5&gt;='Inputs'!$D$35,'Inputs'!$D$36,0)),MAX(0,AK47+AL23-AL44))</f>
        <v>0.0</v>
      </c>
      <c r="AM45" s="21">
        <f>MIN(MAX(0,IF(AM$5&gt;='Inputs'!$D$35,'Inputs'!$D$36,0)),MAX(0,AL47+AM23-AM44))</f>
        <v>0.0</v>
      </c>
      <c r="AN45" s="21">
        <f>MIN(MAX(0,IF(AN$5&gt;='Inputs'!$D$35,'Inputs'!$D$36,0)),MAX(0,AM47+AN23-AN44))</f>
        <v>0.0</v>
      </c>
      <c r="AO45" s="21">
        <f>MIN(MAX(0,IF(AO$5&gt;='Inputs'!$D$35,'Inputs'!$D$36,0)),MAX(0,AN47+AO23-AO44))</f>
        <v>0.0</v>
      </c>
      <c r="AP45" s="21">
        <f>MIN(MAX(0,IF(AP$5&gt;='Inputs'!$D$35,'Inputs'!$D$36,0)),MAX(0,AO47+AP23-AP44))</f>
        <v>0.0</v>
      </c>
      <c r="AQ45" s="21">
        <f>MIN(MAX(0,IF(AQ$5&gt;='Inputs'!$D$35,'Inputs'!$D$36,0)),MAX(0,AP47+AQ23-AQ44))</f>
        <v>0.0</v>
      </c>
      <c r="AR45" s="21">
        <f>MIN(MAX(0,IF(AR$5&gt;='Inputs'!$D$35,'Inputs'!$D$36,0)),MAX(0,AQ47+AR23-AR44))</f>
        <v>0.0</v>
      </c>
      <c r="AS45" s="21">
        <f>MIN(MAX(0,IF(AS$5&gt;='Inputs'!$D$35,'Inputs'!$D$36,0)),MAX(0,AR47+AS23-AS44))</f>
        <v>0.0</v>
      </c>
      <c r="AT45" s="21">
        <f>MIN(MAX(0,IF(AT$5&gt;='Inputs'!$D$35,'Inputs'!$D$36,0)),MAX(0,AS47+AT23-AT44))</f>
        <v>0.0</v>
      </c>
      <c r="AU45" s="21">
        <f>MIN(MAX(0,IF(AU$5&gt;='Inputs'!$D$35,'Inputs'!$D$36,0)),MAX(0,AT47+AU23-AU44))</f>
        <v>0.0</v>
      </c>
    </row>
    <row r="46" spans="1:48">
      <c r="A46" s="5" t="s">
        <v>267</v>
      </c>
      <c r="B46" s="12" t="s">
        <v>49</v>
      </c>
      <c r="C46" s="14" t="s">
        <v>268</v>
      </c>
      <c r="D46" s="21">
        <f>D23-D44-D45</f>
        <v>0.0</v>
      </c>
      <c r="E46" s="21">
        <f>E23-E44-E45</f>
        <v>0.0</v>
      </c>
      <c r="F46" s="21">
        <f>F23-F44-F45</f>
        <v>0.0</v>
      </c>
      <c r="G46" s="21">
        <f>G23-G44-G45</f>
        <v>0.0</v>
      </c>
      <c r="H46" s="21">
        <f>H23-H44-H45</f>
        <v>0.0</v>
      </c>
      <c r="I46" s="21">
        <f>I23-I44-I45</f>
        <v>0.0</v>
      </c>
      <c r="J46" s="21">
        <f>J23-J44-J45</f>
        <v>0.0</v>
      </c>
      <c r="K46" s="21">
        <f>K23-K44-K45</f>
        <v>0.0</v>
      </c>
      <c r="L46" s="21">
        <f>L23-L44-L45</f>
        <v>0.0</v>
      </c>
      <c r="M46" s="21">
        <f>M23-M44-M45</f>
        <v>0.0</v>
      </c>
      <c r="N46" s="21">
        <f>N23-N44-N45</f>
        <v>0.0</v>
      </c>
      <c r="O46" s="21">
        <f>O23-O44-O45</f>
        <v>0.0</v>
      </c>
      <c r="P46" s="21">
        <f>P23-P44-P45</f>
        <v>0.0</v>
      </c>
      <c r="Q46" s="21">
        <f>Q23-Q44-Q45</f>
        <v>0.0</v>
      </c>
      <c r="R46" s="21">
        <f>R23-R44-R45</f>
        <v>0.0</v>
      </c>
      <c r="S46" s="21">
        <f>S23-S44-S45</f>
        <v>0.0</v>
      </c>
      <c r="T46" s="21">
        <f>T23-T44-T45</f>
        <v>0.0</v>
      </c>
      <c r="U46" s="21">
        <f>U23-U44-U45</f>
        <v>0.0</v>
      </c>
      <c r="V46" s="21">
        <f>V23-V44-V45</f>
        <v>0.0</v>
      </c>
      <c r="W46" s="21">
        <f>W23-W44-W45</f>
        <v>0.0</v>
      </c>
      <c r="X46" s="21">
        <f>X23-X44-X45</f>
        <v>0.0</v>
      </c>
      <c r="Y46" s="21">
        <f>Y23-Y44-Y45</f>
        <v>0.0</v>
      </c>
      <c r="Z46" s="21">
        <f>Z23-Z44-Z45</f>
        <v>0.0</v>
      </c>
      <c r="AA46" s="21">
        <f>AA23-AA44-AA45</f>
        <v>0.0</v>
      </c>
      <c r="AB46" s="21">
        <f>AB23-AB44-AB45</f>
        <v>0.0</v>
      </c>
      <c r="AC46" s="21">
        <f>AC23-AC44-AC45</f>
        <v>0.0</v>
      </c>
      <c r="AD46" s="21">
        <f>AD23-AD44-AD45</f>
        <v>0.0</v>
      </c>
      <c r="AE46" s="21">
        <f>AE23-AE44-AE45</f>
        <v>0.0</v>
      </c>
      <c r="AF46" s="21">
        <f>AF23-AF44-AF45</f>
        <v>0.0</v>
      </c>
      <c r="AG46" s="21">
        <f>AG23-AG44-AG45</f>
        <v>0.0</v>
      </c>
      <c r="AH46" s="21">
        <f>AH23-AH44-AH45</f>
        <v>0.0</v>
      </c>
      <c r="AI46" s="21">
        <f>AI23-AI44-AI45</f>
        <v>0.0</v>
      </c>
      <c r="AJ46" s="21">
        <f>AJ23-AJ44-AJ45</f>
        <v>0.0</v>
      </c>
      <c r="AK46" s="21">
        <f>AK23-AK44-AK45</f>
        <v>0.0</v>
      </c>
      <c r="AL46" s="21">
        <f>AL23-AL44-AL45</f>
        <v>0.0</v>
      </c>
      <c r="AM46" s="21">
        <f>AM23-AM44-AM45</f>
        <v>0.0</v>
      </c>
      <c r="AN46" s="21">
        <f>AN23-AN44-AN45</f>
        <v>0.0</v>
      </c>
      <c r="AO46" s="21">
        <f>AO23-AO44-AO45</f>
        <v>0.0</v>
      </c>
      <c r="AP46" s="21">
        <f>AP23-AP44-AP45</f>
        <v>0.0</v>
      </c>
      <c r="AQ46" s="21">
        <f>AQ23-AQ44-AQ45</f>
        <v>0.0</v>
      </c>
      <c r="AR46" s="21">
        <f>AR23-AR44-AR45</f>
        <v>0.0</v>
      </c>
      <c r="AS46" s="21">
        <f>AS23-AS44-AS45</f>
        <v>0.0</v>
      </c>
      <c r="AT46" s="21">
        <f>AT23-AT44-AT45</f>
        <v>0.0</v>
      </c>
      <c r="AU46" s="21">
        <f>AU23-AU44-AU45</f>
        <v>0.0</v>
      </c>
    </row>
    <row r="47" spans="1:48">
      <c r="A47" s="19" t="s">
        <v>269</v>
      </c>
      <c r="B47" s="12" t="s">
        <v>119</v>
      </c>
      <c r="C47" s="14" t="s">
        <v>270</v>
      </c>
      <c r="D47" s="20">
        <f>'Inputs'!$D$34+D46</f>
        <v>0.0</v>
      </c>
      <c r="E47" s="20">
        <f>D47+E46</f>
        <v>0.0</v>
      </c>
      <c r="F47" s="20">
        <f>E47+F46</f>
        <v>0.0</v>
      </c>
      <c r="G47" s="20">
        <f>F47+G46</f>
        <v>0.0</v>
      </c>
      <c r="H47" s="20">
        <f>G47+H46</f>
        <v>0.0</v>
      </c>
      <c r="I47" s="20">
        <f>H47+I46</f>
        <v>0.0</v>
      </c>
      <c r="J47" s="20">
        <f>I47+J46</f>
        <v>0.0</v>
      </c>
      <c r="K47" s="20">
        <f>J47+K46</f>
        <v>0.0</v>
      </c>
      <c r="L47" s="20">
        <f>K47+L46</f>
        <v>0.0</v>
      </c>
      <c r="M47" s="20">
        <f>L47+M46</f>
        <v>0.0</v>
      </c>
      <c r="N47" s="20">
        <f>M47+N46</f>
        <v>0.0</v>
      </c>
      <c r="O47" s="20">
        <f>N47+O46</f>
        <v>0.0</v>
      </c>
      <c r="P47" s="20">
        <f>O47+P46</f>
        <v>0.0</v>
      </c>
      <c r="Q47" s="20">
        <f>P47+Q46</f>
        <v>0.0</v>
      </c>
      <c r="R47" s="20">
        <f>Q47+R46</f>
        <v>0.0</v>
      </c>
      <c r="S47" s="20">
        <f>R47+S46</f>
        <v>0.0</v>
      </c>
      <c r="T47" s="20">
        <f>S47+T46</f>
        <v>0.0</v>
      </c>
      <c r="U47" s="20">
        <f>T47+U46</f>
        <v>0.0</v>
      </c>
      <c r="V47" s="20">
        <f>U47+V46</f>
        <v>0.0</v>
      </c>
      <c r="W47" s="20">
        <f>V47+W46</f>
        <v>0.0</v>
      </c>
      <c r="X47" s="20">
        <f>W47+X46</f>
        <v>0.0</v>
      </c>
      <c r="Y47" s="20">
        <f>X47+Y46</f>
        <v>0.0</v>
      </c>
      <c r="Z47" s="20">
        <f>Y47+Z46</f>
        <v>0.0</v>
      </c>
      <c r="AA47" s="20">
        <f>Z47+AA46</f>
        <v>0.0</v>
      </c>
      <c r="AB47" s="20">
        <f>AA47+AB46</f>
        <v>0.0</v>
      </c>
      <c r="AC47" s="20">
        <f>AB47+AC46</f>
        <v>0.0</v>
      </c>
      <c r="AD47" s="20">
        <f>AC47+AD46</f>
        <v>0.0</v>
      </c>
      <c r="AE47" s="20">
        <f>AD47+AE46</f>
        <v>0.0</v>
      </c>
      <c r="AF47" s="20">
        <f>AE47+AF46</f>
        <v>0.0</v>
      </c>
      <c r="AG47" s="20">
        <f>AF47+AG46</f>
        <v>0.0</v>
      </c>
      <c r="AH47" s="20">
        <f>AG47+AH46</f>
        <v>0.0</v>
      </c>
      <c r="AI47" s="20">
        <f>AH47+AI46</f>
        <v>0.0</v>
      </c>
      <c r="AJ47" s="20">
        <f>AI47+AJ46</f>
        <v>0.0</v>
      </c>
      <c r="AK47" s="20">
        <f>AJ47+AK46</f>
        <v>0.0</v>
      </c>
      <c r="AL47" s="20">
        <f>AK47+AL46</f>
        <v>0.0</v>
      </c>
      <c r="AM47" s="20">
        <f>AL47+AM46</f>
        <v>0.0</v>
      </c>
      <c r="AN47" s="20">
        <f>AM47+AN46</f>
        <v>0.0</v>
      </c>
      <c r="AO47" s="20">
        <f>AN47+AO46</f>
        <v>0.0</v>
      </c>
      <c r="AP47" s="20">
        <f>AO47+AP46</f>
        <v>0.0</v>
      </c>
      <c r="AQ47" s="20">
        <f>AP47+AQ46</f>
        <v>0.0</v>
      </c>
      <c r="AR47" s="20">
        <f>AQ47+AR46</f>
        <v>0.0</v>
      </c>
      <c r="AS47" s="20">
        <f>AR47+AS46</f>
        <v>0.0</v>
      </c>
      <c r="AT47" s="20">
        <f>AS47+AT46</f>
        <v>0.0</v>
      </c>
      <c r="AU47" s="20">
        <f>AT47+AU46</f>
        <v>0.0</v>
      </c>
    </row>
    <row r="48" spans="1:48">
      <c r="A48" s="19" t="s">
        <v>271</v>
      </c>
      <c r="B48" s="12" t="s">
        <v>49</v>
      </c>
      <c r="C48" s="14" t="s">
        <v>272</v>
      </c>
      <c r="D48" s="20">
        <f>D42+D23-D44-D45</f>
        <v>-6586.37436</v>
      </c>
      <c r="E48" s="20">
        <f>E42+E23-E44-E45</f>
        <v>-6586.37436</v>
      </c>
      <c r="F48" s="20">
        <f>F42+F23-F44-F45</f>
        <v>-6586.37436</v>
      </c>
      <c r="G48" s="20">
        <f>G42+G23-G44-G45</f>
        <v>-9317.37436</v>
      </c>
      <c r="H48" s="20">
        <f>H42+H23-H44-H45</f>
        <v>-9317.37436</v>
      </c>
      <c r="I48" s="20">
        <f>I42+I23-I44-I45</f>
        <v>-10717.37436</v>
      </c>
      <c r="J48" s="20">
        <f>J42+J23-J44-J45</f>
        <v>-10717.37436</v>
      </c>
      <c r="K48" s="20">
        <f>K42+K23-K44-K45</f>
        <v>-10717.37436</v>
      </c>
      <c r="L48" s="20">
        <f>L42+L23-L44-L45</f>
        <v>-4966.950477200001</v>
      </c>
      <c r="M48" s="20">
        <f>M42+M23-M44-M45</f>
        <v>-1986.7734440000022</v>
      </c>
      <c r="N48" s="20">
        <f>N42+N23-N44-N45</f>
        <v>993.4035891999974</v>
      </c>
      <c r="O48" s="20">
        <f>O42+O23-O44-O45</f>
        <v>3973.5806223999953</v>
      </c>
      <c r="P48" s="20">
        <f>P42+P23-P44-P45</f>
        <v>5904.695811200007</v>
      </c>
      <c r="Q48" s="20">
        <f>Q42+Q23-Q44-Q45</f>
        <v>7891.4805</v>
      </c>
      <c r="R48" s="20">
        <f>R42+R23-R44-R45</f>
        <v>8966.680500000002</v>
      </c>
      <c r="S48" s="20">
        <f>S42+S23-S44-S45</f>
        <v>11139.860500000006</v>
      </c>
      <c r="T48" s="20">
        <f>T42+T23-T44-T45</f>
        <v>11139.860500000006</v>
      </c>
      <c r="U48" s="20">
        <f>U42+U23-U44-U45</f>
        <v>11139.860500000006</v>
      </c>
      <c r="V48" s="20">
        <f>V42+V23-V44-V45</f>
        <v>11139.860500000006</v>
      </c>
      <c r="W48" s="20">
        <f>W42+W23-W44-W45</f>
        <v>11139.860500000006</v>
      </c>
      <c r="X48" s="20">
        <f>X42+X23-X44-X45</f>
        <v>11139.860500000006</v>
      </c>
      <c r="Y48" s="20">
        <f>Y42+Y23-Y44-Y45</f>
        <v>11139.860500000006</v>
      </c>
      <c r="Z48" s="20">
        <f>Z42+Z23-Z44-Z45</f>
        <v>11139.860500000006</v>
      </c>
      <c r="AA48" s="20">
        <f>AA42+AA23-AA44-AA45</f>
        <v>11139.860500000006</v>
      </c>
      <c r="AB48" s="20">
        <f>AB42+AB23-AB44-AB45</f>
        <v>11082.520915000008</v>
      </c>
      <c r="AC48" s="20">
        <f>AC42+AC23-AC44-AC45</f>
        <v>11082.520915000008</v>
      </c>
      <c r="AD48" s="20">
        <f>AD42+AD23-AD44-AD45</f>
        <v>11082.520915000008</v>
      </c>
      <c r="AE48" s="20">
        <f>AE42+AE23-AE44-AE45</f>
        <v>11082.520915000008</v>
      </c>
      <c r="AF48" s="20">
        <f>AF42+AF23-AF44-AF45</f>
        <v>11082.520915000008</v>
      </c>
      <c r="AG48" s="20">
        <f>AG42+AG23-AG44-AG45</f>
        <v>11082.520915000008</v>
      </c>
      <c r="AH48" s="20">
        <f>AH42+AH23-AH44-AH45</f>
        <v>11082.520915000008</v>
      </c>
      <c r="AI48" s="20">
        <f>AI42+AI23-AI44-AI45</f>
        <v>11082.520915000008</v>
      </c>
      <c r="AJ48" s="20">
        <f>AJ42+AJ23-AJ44-AJ45</f>
        <v>11082.520915000008</v>
      </c>
      <c r="AK48" s="20">
        <f>AK42+AK23-AK44-AK45</f>
        <v>11082.520915000008</v>
      </c>
      <c r="AL48" s="20">
        <f>AL42+AL23-AL44-AL45</f>
        <v>11082.520915000008</v>
      </c>
      <c r="AM48" s="20">
        <f>AM42+AM23-AM44-AM45</f>
        <v>11082.520915000008</v>
      </c>
      <c r="AN48" s="20">
        <f>AN42+AN23-AN44-AN45</f>
        <v>11023.461142450004</v>
      </c>
      <c r="AO48" s="20">
        <f>AO42+AO23-AO44-AO45</f>
        <v>11023.461142450004</v>
      </c>
      <c r="AP48" s="20">
        <f>AP42+AP23-AP44-AP45</f>
        <v>11023.461142450004</v>
      </c>
      <c r="AQ48" s="20">
        <f>AQ42+AQ23-AQ44-AQ45</f>
        <v>11023.461142450004</v>
      </c>
      <c r="AR48" s="20">
        <f>AR42+AR23-AR44-AR45</f>
        <v>11023.461142450004</v>
      </c>
      <c r="AS48" s="20">
        <f>AS42+AS23-AS44-AS45</f>
        <v>11023.461142450004</v>
      </c>
      <c r="AT48" s="20">
        <f>AT42+AT23-AT44-AT45</f>
        <v>11023.461142450004</v>
      </c>
      <c r="AU48" s="20">
        <f>AU42+AU23-AU44-AU45</f>
        <v>11023.461142450004</v>
      </c>
    </row>
    <row r="49" spans="1:47">
      <c r="A49" s="19" t="s">
        <v>273</v>
      </c>
      <c r="B49" s="12" t="s">
        <v>119</v>
      </c>
      <c r="C49" s="14" t="s">
        <v>274</v>
      </c>
      <c r="D49" s="20">
        <f>'Inputs'!$D$40+D48</f>
        <v>-6484.14436</v>
      </c>
      <c r="E49" s="20">
        <f>D49+E48</f>
        <v>-13070.51872</v>
      </c>
      <c r="F49" s="20">
        <f>E49+F48</f>
        <v>-19656.89308</v>
      </c>
      <c r="G49" s="20">
        <f>F49+G48</f>
        <v>-28974.267440000003</v>
      </c>
      <c r="H49" s="20">
        <f>G49+H48</f>
        <v>-38291.641800000005</v>
      </c>
      <c r="I49" s="20">
        <f>H49+I48</f>
        <v>-49009.01616000001</v>
      </c>
      <c r="J49" s="20">
        <f>I49+J48</f>
        <v>-59726.39052000001</v>
      </c>
      <c r="K49" s="20">
        <f>J49+K48</f>
        <v>-70443.76488</v>
      </c>
      <c r="L49" s="20">
        <f>K49+L48</f>
        <v>-75410.71535720001</v>
      </c>
      <c r="M49" s="20">
        <f>L49+M48</f>
        <v>-77397.48880120002</v>
      </c>
      <c r="N49" s="20">
        <f>M49+N48</f>
        <v>-76404.08521200002</v>
      </c>
      <c r="O49" s="20">
        <f>N49+O48</f>
        <v>-72430.50458960002</v>
      </c>
      <c r="P49" s="20">
        <f>O49+P48</f>
        <v>-66525.80877840001</v>
      </c>
      <c r="Q49" s="20">
        <f>P49+Q48</f>
        <v>-58634.32827840001</v>
      </c>
      <c r="R49" s="20">
        <f>Q49+R48</f>
        <v>-49667.64777840001</v>
      </c>
      <c r="S49" s="20">
        <f>R49+S48</f>
        <v>-38527.78727840001</v>
      </c>
      <c r="T49" s="20">
        <f>S49+T48</f>
        <v>-27387.9267784</v>
      </c>
      <c r="U49" s="20">
        <f>T49+U48</f>
        <v>-16248.066278399994</v>
      </c>
      <c r="V49" s="20">
        <f>U49+V48</f>
        <v>-5108.205778399988</v>
      </c>
      <c r="W49" s="20">
        <f>V49+W48</f>
        <v>6031.654721600018</v>
      </c>
      <c r="X49" s="20">
        <f>W49+X48</f>
        <v>17171.515221600024</v>
      </c>
      <c r="Y49" s="20">
        <f>X49+Y48</f>
        <v>28311.37572160003</v>
      </c>
      <c r="Z49" s="20">
        <f>Y49+Z48</f>
        <v>39451.23622160003</v>
      </c>
      <c r="AA49" s="20">
        <f>Z49+AA48</f>
        <v>50591.09672160004</v>
      </c>
      <c r="AB49" s="20">
        <f>AA49+AB48</f>
        <v>61673.61763660005</v>
      </c>
      <c r="AC49" s="20">
        <f>AB49+AC48</f>
        <v>72756.13855160006</v>
      </c>
      <c r="AD49" s="20">
        <f>AC49+AD48</f>
        <v>83838.65946660007</v>
      </c>
      <c r="AE49" s="20">
        <f>AD49+AE48</f>
        <v>94921.18038160008</v>
      </c>
      <c r="AF49" s="20">
        <f>AE49+AF48</f>
        <v>106003.70129660008</v>
      </c>
      <c r="AG49" s="20">
        <f>AF49+AG48</f>
        <v>117086.22221160008</v>
      </c>
      <c r="AH49" s="20">
        <f>AG49+AH48</f>
        <v>128168.74312660008</v>
      </c>
      <c r="AI49" s="20">
        <f>AH49+AI48</f>
        <v>139251.26404160008</v>
      </c>
      <c r="AJ49" s="20">
        <f>AI49+AJ48</f>
        <v>150333.78495660008</v>
      </c>
      <c r="AK49" s="20">
        <f>AJ49+AK48</f>
        <v>161416.30587160008</v>
      </c>
      <c r="AL49" s="20">
        <f>AK49+AL48</f>
        <v>172498.82678660008</v>
      </c>
      <c r="AM49" s="20">
        <f>AL49+AM48</f>
        <v>183581.34770160008</v>
      </c>
      <c r="AN49" s="20">
        <f>AM49+AN48</f>
        <v>194604.8088440501</v>
      </c>
      <c r="AO49" s="20">
        <f>AN49+AO48</f>
        <v>205628.2699865001</v>
      </c>
      <c r="AP49" s="20">
        <f>AO49+AP48</f>
        <v>216651.73112895008</v>
      </c>
      <c r="AQ49" s="20">
        <f>AP49+AQ48</f>
        <v>227675.19227140007</v>
      </c>
      <c r="AR49" s="20">
        <f>AQ49+AR48</f>
        <v>238698.65341385006</v>
      </c>
      <c r="AS49" s="20">
        <f>AR49+AS48</f>
        <v>249722.11455630005</v>
      </c>
      <c r="AT49" s="20">
        <f>AS49+AT48</f>
        <v>260745.57569875004</v>
      </c>
      <c r="AU49" s="20">
        <f>AT49+AU48</f>
        <v>271769.0368412</v>
      </c>
    </row>
  </sheetData>
  <mergeCells count="7">
    <mergeCell ref="A1:AU1"/>
    <mergeCell ref="A2:AU2"/>
    <mergeCell ref="A3:AV3"/>
    <mergeCell ref="A6:AV6"/>
    <mergeCell ref="A17:AV17"/>
    <mergeCell ref="A27:AV27"/>
    <mergeCell ref="A39:AV39"/>
  </mergeCells>
  <conditionalFormatting sqref="D26:AU26">
    <cfRule type="cellIs" dxfId="0" priority="1" operator="lessThan">
      <formula>0.3</formula>
    </cfRule>
    <cfRule type="cellIs" dxfId="1" priority="2" operator="greaterThanOrEqual">
      <formula>0.3</formula>
    </cfRule>
  </conditionalFormatting>
  <conditionalFormatting sqref="D35:AU35">
    <cfRule type="cellIs" dxfId="0" priority="3" operator="lessThanOrEqual">
      <formula>0.1</formula>
    </cfRule>
    <cfRule type="cellIs" dxfId="1" priority="4" operator="greaterThan">
      <formula>0.1</formula>
    </cfRule>
  </conditionalFormatting>
  <conditionalFormatting sqref="D43:AU43">
    <cfRule type="cellIs" dxfId="0" priority="5" operator="greaterThanOrEqual">
      <formula>0</formula>
    </cfRule>
    <cfRule type="cellIs" dxfId="1" priority="6" operator="lessThan">
      <formula>0</formula>
    </cfRule>
  </conditionalFormatting>
  <pageMargins left="0.7" right="0.7" top="0.75" bottom="0.75" header="0.3" footer="0.3"/>
  <pageSetup fitToHeight="2" orientation="landscape"/>
  <headerFooter>
    <oddHeader>&amp;LLocal Effort Cooperative&amp;C608 Smith Avenue Pro Forma&amp;R&amp;D</oddHeader>
    <oddFooter>&amp;LInternal planning model&amp;CPage &amp;P of &amp;N&amp;RUpdated 2026-10-01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A7F78"/>
    <pageSetUpPr fitToPage="1"/>
  </sheetPr>
  <dimension ref="A1:AV4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34.7109375" customWidth="1"/>
    <col min="2" max="2" width="14.7109375" customWidth="1"/>
    <col min="3" max="3" width="32.7109375" customWidth="1"/>
    <col min="4" max="47" width="12.7109375" customWidth="1"/>
  </cols>
  <sheetData>
    <row r="1" spans="1:48" ht="30" customHeight="1">
      <c r="A1" s="1" t="s">
        <v>275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8">
      <c r="A2" s="2" t="s">
        <v>276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8">
      <c r="A3" s="11" t="s">
        <v>191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</row>
    <row r="5" spans="1:48">
      <c r="A5" s="4" t="s">
        <v>192</v>
      </c>
      <c r="B5" s="4" t="s">
        <v>44</v>
      </c>
      <c r="C5" s="4" t="s">
        <v>193</v>
      </c>
      <c r="D5" s="18">
        <v>46296</v>
      </c>
      <c r="E5" s="18">
        <v>46327</v>
      </c>
      <c r="F5" s="18">
        <v>46357</v>
      </c>
      <c r="G5" s="18">
        <v>46388</v>
      </c>
      <c r="H5" s="18">
        <v>46419</v>
      </c>
      <c r="I5" s="18">
        <v>46447</v>
      </c>
      <c r="J5" s="18">
        <v>46478</v>
      </c>
      <c r="K5" s="18">
        <v>46508</v>
      </c>
      <c r="L5" s="18">
        <v>46539</v>
      </c>
      <c r="M5" s="18">
        <v>46569</v>
      </c>
      <c r="N5" s="18">
        <v>46600</v>
      </c>
      <c r="O5" s="18">
        <v>46631</v>
      </c>
      <c r="P5" s="18">
        <v>46661</v>
      </c>
      <c r="Q5" s="18">
        <v>46692</v>
      </c>
      <c r="R5" s="18">
        <v>46722</v>
      </c>
      <c r="S5" s="18">
        <v>46753</v>
      </c>
      <c r="T5" s="18">
        <v>46784</v>
      </c>
      <c r="U5" s="18">
        <v>46813</v>
      </c>
      <c r="V5" s="18">
        <v>46844</v>
      </c>
      <c r="W5" s="18">
        <v>46874</v>
      </c>
      <c r="X5" s="18">
        <v>46905</v>
      </c>
      <c r="Y5" s="18">
        <v>46935</v>
      </c>
      <c r="Z5" s="18">
        <v>46966</v>
      </c>
      <c r="AA5" s="18">
        <v>46997</v>
      </c>
      <c r="AB5" s="18">
        <v>47027</v>
      </c>
      <c r="AC5" s="18">
        <v>47058</v>
      </c>
      <c r="AD5" s="18">
        <v>47088</v>
      </c>
      <c r="AE5" s="18">
        <v>47119</v>
      </c>
      <c r="AF5" s="18">
        <v>47150</v>
      </c>
      <c r="AG5" s="18">
        <v>47178</v>
      </c>
      <c r="AH5" s="18">
        <v>47209</v>
      </c>
      <c r="AI5" s="18">
        <v>47239</v>
      </c>
      <c r="AJ5" s="18">
        <v>47270</v>
      </c>
      <c r="AK5" s="18">
        <v>47300</v>
      </c>
      <c r="AL5" s="18">
        <v>47331</v>
      </c>
      <c r="AM5" s="18">
        <v>47362</v>
      </c>
      <c r="AN5" s="18">
        <v>47392</v>
      </c>
      <c r="AO5" s="18">
        <v>47423</v>
      </c>
      <c r="AP5" s="18">
        <v>47453</v>
      </c>
      <c r="AQ5" s="18">
        <v>47484</v>
      </c>
      <c r="AR5" s="18">
        <v>47515</v>
      </c>
      <c r="AS5" s="18">
        <v>47543</v>
      </c>
      <c r="AT5" s="18">
        <v>47574</v>
      </c>
      <c r="AU5" s="18">
        <v>47604</v>
      </c>
    </row>
    <row r="6" spans="1:48">
      <c r="A6" s="3" t="s">
        <v>194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>
      <c r="A7" s="5" t="s">
        <v>198</v>
      </c>
      <c r="B7" s="12" t="s">
        <v>49</v>
      </c>
      <c r="C7" s="14" t="s">
        <v>199</v>
      </c>
      <c r="D7" s="21">
        <f>'Inputs'!$E$18*POWER(1+'Inputs'!$E$19,0)</f>
        <v>4334.42</v>
      </c>
      <c r="E7" s="21">
        <f>'Inputs'!$E$18*POWER(1+'Inputs'!$E$19,1)</f>
        <v>4377.7642000000005</v>
      </c>
      <c r="F7" s="21">
        <f>'Inputs'!$E$18*POWER(1+'Inputs'!$E$19,2)</f>
        <v>4421.5418420000005</v>
      </c>
      <c r="G7" s="21">
        <f>'Inputs'!$E$18*POWER(1+'Inputs'!$E$19,3)</f>
        <v>4465.75726042</v>
      </c>
      <c r="H7" s="21">
        <f>'Inputs'!$E$18*POWER(1+'Inputs'!$E$19,4)</f>
        <v>4510.414833024201</v>
      </c>
      <c r="I7" s="21">
        <f>'Inputs'!$E$18*POWER(1+'Inputs'!$E$19,5)</f>
        <v>4555.518981354443</v>
      </c>
      <c r="J7" s="21">
        <f>'Inputs'!$E$18*POWER(1+'Inputs'!$E$19,6)</f>
        <v>4601.0741711679875</v>
      </c>
      <c r="K7" s="21">
        <f>'Inputs'!$E$18*POWER(1+'Inputs'!$E$19,7)</f>
        <v>4647.084912879666</v>
      </c>
      <c r="L7" s="21">
        <f>'Inputs'!$E$18*POWER(1+'Inputs'!$E$19,8)</f>
        <v>4693.555762008464</v>
      </c>
      <c r="M7" s="21">
        <f>'Inputs'!$E$18*POWER(1+'Inputs'!$E$19,9)</f>
        <v>4740.491319628548</v>
      </c>
      <c r="N7" s="21">
        <f>'Inputs'!$E$18*POWER(1+'Inputs'!$E$19,10)</f>
        <v>4787.8962328248335</v>
      </c>
      <c r="O7" s="21">
        <f>'Inputs'!$E$18*POWER(1+'Inputs'!$E$19,11)</f>
        <v>4835.775195153082</v>
      </c>
      <c r="P7" s="21">
        <f>'Inputs'!$E$18*POWER(1+'Inputs'!$E$19,12)</f>
        <v>4884.132947104613</v>
      </c>
      <c r="Q7" s="21">
        <f>'Inputs'!$E$18*POWER(1+'Inputs'!$E$19,13)</f>
        <v>4932.974276575659</v>
      </c>
      <c r="R7" s="21">
        <f>'Inputs'!$E$18*POWER(1+'Inputs'!$E$19,14)</f>
        <v>4982.304019341416</v>
      </c>
      <c r="S7" s="21">
        <f>'Inputs'!$E$18*POWER(1+'Inputs'!$E$19,15)</f>
        <v>5032.12705953483</v>
      </c>
      <c r="T7" s="21">
        <f>'Inputs'!$E$18*POWER(1+'Inputs'!$E$19,16)</f>
        <v>5082.448330130179</v>
      </c>
      <c r="U7" s="21">
        <f>'Inputs'!$E$18*POWER(1+'Inputs'!$E$19,17)</f>
        <v>5133.272813431479</v>
      </c>
      <c r="V7" s="21">
        <f>'Inputs'!$E$18*POWER(1+'Inputs'!$E$19,18)</f>
        <v>5184.605541565795</v>
      </c>
      <c r="W7" s="21">
        <f>'Inputs'!$E$18*POWER(1+'Inputs'!$E$19,19)</f>
        <v>5236.451596981452</v>
      </c>
      <c r="X7" s="21">
        <f>'Inputs'!$E$18*POWER(1+'Inputs'!$E$19,20)</f>
        <v>5288.816112951267</v>
      </c>
      <c r="Y7" s="21">
        <f>'Inputs'!$E$18*POWER(1+'Inputs'!$E$19,21)</f>
        <v>5341.70427408078</v>
      </c>
      <c r="Z7" s="21">
        <f>'Inputs'!$E$18*POWER(1+'Inputs'!$E$19,22)</f>
        <v>5395.121316821587</v>
      </c>
      <c r="AA7" s="21">
        <f>'Inputs'!$E$18*POWER(1+'Inputs'!$E$19,23)</f>
        <v>5449.072529989804</v>
      </c>
      <c r="AB7" s="21">
        <f>'Inputs'!$E$18*POWER(1+'Inputs'!$E$19,24)</f>
        <v>5503.563255289702</v>
      </c>
      <c r="AC7" s="21">
        <f>'Inputs'!$E$18*POWER(1+'Inputs'!$E$19,25)</f>
        <v>5558.598887842599</v>
      </c>
      <c r="AD7" s="21">
        <f>'Inputs'!$E$18*POWER(1+'Inputs'!$E$19,26)</f>
        <v>5614.184876721026</v>
      </c>
      <c r="AE7" s="21">
        <f>'Inputs'!$E$18*POWER(1+'Inputs'!$E$19,27)</f>
        <v>5670.326725488236</v>
      </c>
      <c r="AF7" s="21">
        <f>'Inputs'!$E$18*POWER(1+'Inputs'!$E$19,28)</f>
        <v>5727.029992743118</v>
      </c>
      <c r="AG7" s="21">
        <f>'Inputs'!$E$18*POWER(1+'Inputs'!$E$19,29)</f>
        <v>5784.300292670549</v>
      </c>
      <c r="AH7" s="21">
        <f>'Inputs'!$E$18*POWER(1+'Inputs'!$E$19,30)</f>
        <v>5842.143295597255</v>
      </c>
      <c r="AI7" s="21">
        <f>'Inputs'!$E$18*POWER(1+'Inputs'!$E$19,31)</f>
        <v>5900.564728553228</v>
      </c>
      <c r="AJ7" s="21">
        <f>'Inputs'!$E$18*POWER(1+'Inputs'!$E$19,32)</f>
        <v>5959.570375838759</v>
      </c>
      <c r="AK7" s="21">
        <f>'Inputs'!$E$18*POWER(1+'Inputs'!$E$19,33)</f>
        <v>6019.166079597147</v>
      </c>
      <c r="AL7" s="21">
        <f>'Inputs'!$E$18*POWER(1+'Inputs'!$E$19,34)</f>
        <v>6079.357740393119</v>
      </c>
      <c r="AM7" s="21">
        <f>'Inputs'!$E$18*POWER(1+'Inputs'!$E$19,35)</f>
        <v>6140.151317797049</v>
      </c>
      <c r="AN7" s="21">
        <f>'Inputs'!$E$18*POWER(1+'Inputs'!$E$19,36)</f>
        <v>6201.552830975021</v>
      </c>
      <c r="AO7" s="21">
        <f>'Inputs'!$E$18*POWER(1+'Inputs'!$E$19,37)</f>
        <v>6263.568359284771</v>
      </c>
      <c r="AP7" s="21">
        <f>'Inputs'!$E$18*POWER(1+'Inputs'!$E$19,38)</f>
        <v>6326.204042877618</v>
      </c>
      <c r="AQ7" s="21">
        <f>'Inputs'!$E$18*POWER(1+'Inputs'!$E$19,39)</f>
        <v>6389.4660833063945</v>
      </c>
      <c r="AR7" s="21">
        <f>'Inputs'!$E$18*POWER(1+'Inputs'!$E$19,40)</f>
        <v>6453.360744139459</v>
      </c>
      <c r="AS7" s="21">
        <f>'Inputs'!$E$18*POWER(1+'Inputs'!$E$19,41)</f>
        <v>6517.894351580853</v>
      </c>
      <c r="AT7" s="21">
        <f>'Inputs'!$E$18*POWER(1+'Inputs'!$E$19,42)</f>
        <v>6583.073295096662</v>
      </c>
      <c r="AU7" s="21">
        <f>'Inputs'!$E$18*POWER(1+'Inputs'!$E$19,43)</f>
        <v>6648.904028047628</v>
      </c>
    </row>
    <row r="8" spans="1:48">
      <c r="A8" s="5" t="s">
        <v>200</v>
      </c>
      <c r="B8" s="12" t="s">
        <v>49</v>
      </c>
      <c r="C8" s="14" t="s">
        <v>201</v>
      </c>
      <c r="D8" s="21">
        <f>'Inputs'!$E$20*POWER(1+'Inputs'!$E$22,0)*'Inputs'!$E$21</f>
        <v>1800.0</v>
      </c>
      <c r="E8" s="21">
        <f>'Inputs'!$E$20*POWER(1+'Inputs'!$E$22,1)*'Inputs'!$E$21</f>
        <v>1826.9999999999998</v>
      </c>
      <c r="F8" s="21">
        <f>'Inputs'!$E$20*POWER(1+'Inputs'!$E$22,2)*'Inputs'!$E$21</f>
        <v>1854.4049999999997</v>
      </c>
      <c r="G8" s="21">
        <f>'Inputs'!$E$20*POWER(1+'Inputs'!$E$22,3)*'Inputs'!$E$21</f>
        <v>1882.2210749999995</v>
      </c>
      <c r="H8" s="21">
        <f>'Inputs'!$E$20*POWER(1+'Inputs'!$E$22,4)*'Inputs'!$E$21</f>
        <v>1910.4543911249993</v>
      </c>
      <c r="I8" s="21">
        <f>'Inputs'!$E$20*POWER(1+'Inputs'!$E$22,5)*'Inputs'!$E$21</f>
        <v>1939.111206991874</v>
      </c>
      <c r="J8" s="21">
        <f>'Inputs'!$E$20*POWER(1+'Inputs'!$E$22,6)*'Inputs'!$E$21</f>
        <v>1968.1978750967519</v>
      </c>
      <c r="K8" s="21">
        <f>'Inputs'!$E$20*POWER(1+'Inputs'!$E$22,7)*'Inputs'!$E$21</f>
        <v>1997.7208432232032</v>
      </c>
      <c r="L8" s="21">
        <f>'Inputs'!$E$20*POWER(1+'Inputs'!$E$22,8)*'Inputs'!$E$21</f>
        <v>2027.686655871551</v>
      </c>
      <c r="M8" s="21">
        <f>'Inputs'!$E$20*POWER(1+'Inputs'!$E$22,9)*'Inputs'!$E$21</f>
        <v>2058.1019557096242</v>
      </c>
      <c r="N8" s="21">
        <f>'Inputs'!$E$20*POWER(1+'Inputs'!$E$22,10)*'Inputs'!$E$21</f>
        <v>2088.9734850452683</v>
      </c>
      <c r="O8" s="21">
        <f>'Inputs'!$E$20*POWER(1+'Inputs'!$E$22,11)*'Inputs'!$E$21</f>
        <v>2120.308087320947</v>
      </c>
      <c r="P8" s="21">
        <f>'Inputs'!$E$20*POWER(1+'Inputs'!$E$22,12)*'Inputs'!$E$21</f>
        <v>2152.112708630761</v>
      </c>
      <c r="Q8" s="21">
        <f>'Inputs'!$E$20*POWER(1+'Inputs'!$E$22,13)*'Inputs'!$E$21</f>
        <v>2184.394399260222</v>
      </c>
      <c r="R8" s="21">
        <f>'Inputs'!$E$20*POWER(1+'Inputs'!$E$22,14)*'Inputs'!$E$21</f>
        <v>2217.1603152491252</v>
      </c>
      <c r="S8" s="21">
        <f>'Inputs'!$E$20*POWER(1+'Inputs'!$E$22,15)*'Inputs'!$E$21</f>
        <v>2250.4177199778624</v>
      </c>
      <c r="T8" s="21">
        <f>'Inputs'!$E$20*POWER(1+'Inputs'!$E$22,16)*'Inputs'!$E$21</f>
        <v>2284.1739857775297</v>
      </c>
      <c r="U8" s="21">
        <f>'Inputs'!$E$20*POWER(1+'Inputs'!$E$22,17)*'Inputs'!$E$21</f>
        <v>2318.4365955641924</v>
      </c>
      <c r="V8" s="21">
        <f>'Inputs'!$E$20*POWER(1+'Inputs'!$E$22,18)*'Inputs'!$E$21</f>
        <v>2353.2131444976553</v>
      </c>
      <c r="W8" s="21">
        <f>'Inputs'!$E$20*POWER(1+'Inputs'!$E$22,19)*'Inputs'!$E$21</f>
        <v>2388.5113416651197</v>
      </c>
      <c r="X8" s="21">
        <f>'Inputs'!$E$20*POWER(1+'Inputs'!$E$22,20)*'Inputs'!$E$21</f>
        <v>2424.3390117900963</v>
      </c>
      <c r="Y8" s="21">
        <f>'Inputs'!$E$20*POWER(1+'Inputs'!$E$22,21)*'Inputs'!$E$21</f>
        <v>2460.7040969669474</v>
      </c>
      <c r="Z8" s="21">
        <f>'Inputs'!$E$20*POWER(1+'Inputs'!$E$22,22)*'Inputs'!$E$21</f>
        <v>2497.6146584214516</v>
      </c>
      <c r="AA8" s="21">
        <f>'Inputs'!$E$20*POWER(1+'Inputs'!$E$22,23)*'Inputs'!$E$21</f>
        <v>2535.0788782977725</v>
      </c>
      <c r="AB8" s="21">
        <f>'Inputs'!$E$20*POWER(1+'Inputs'!$E$22,24)*'Inputs'!$E$21</f>
        <v>2573.1050614722394</v>
      </c>
      <c r="AC8" s="21">
        <f>'Inputs'!$E$20*POWER(1+'Inputs'!$E$22,25)*'Inputs'!$E$21</f>
        <v>2611.7016373943225</v>
      </c>
      <c r="AD8" s="21">
        <f>'Inputs'!$E$20*POWER(1+'Inputs'!$E$22,26)*'Inputs'!$E$21</f>
        <v>2650.877161955237</v>
      </c>
      <c r="AE8" s="21">
        <f>'Inputs'!$E$20*POWER(1+'Inputs'!$E$22,27)*'Inputs'!$E$21</f>
        <v>2690.6403193845654</v>
      </c>
      <c r="AF8" s="21">
        <f>'Inputs'!$E$20*POWER(1+'Inputs'!$E$22,28)*'Inputs'!$E$21</f>
        <v>2730.9999241753335</v>
      </c>
      <c r="AG8" s="21">
        <f>'Inputs'!$E$20*POWER(1+'Inputs'!$E$22,29)*'Inputs'!$E$21</f>
        <v>2771.964923037963</v>
      </c>
      <c r="AH8" s="21">
        <f>'Inputs'!$E$20*POWER(1+'Inputs'!$E$22,30)*'Inputs'!$E$21</f>
        <v>2813.5443968835325</v>
      </c>
      <c r="AI8" s="21">
        <f>'Inputs'!$E$20*POWER(1+'Inputs'!$E$22,31)*'Inputs'!$E$21</f>
        <v>2855.747562836785</v>
      </c>
      <c r="AJ8" s="21">
        <f>'Inputs'!$E$20*POWER(1+'Inputs'!$E$22,32)*'Inputs'!$E$21</f>
        <v>2898.5837762793367</v>
      </c>
      <c r="AK8" s="21">
        <f>'Inputs'!$E$20*POWER(1+'Inputs'!$E$22,33)*'Inputs'!$E$21</f>
        <v>2942.0625329235268</v>
      </c>
      <c r="AL8" s="21">
        <f>'Inputs'!$E$20*POWER(1+'Inputs'!$E$22,34)*'Inputs'!$E$21</f>
        <v>2986.193470917379</v>
      </c>
      <c r="AM8" s="21">
        <f>'Inputs'!$E$20*POWER(1+'Inputs'!$E$22,35)*'Inputs'!$E$21</f>
        <v>3030.9863729811395</v>
      </c>
      <c r="AN8" s="21">
        <f>'Inputs'!$E$20*POWER(1+'Inputs'!$E$22,36)*'Inputs'!$E$21</f>
        <v>3076.451168575856</v>
      </c>
      <c r="AO8" s="21">
        <f>'Inputs'!$E$20*POWER(1+'Inputs'!$E$22,37)*'Inputs'!$E$21</f>
        <v>3122.597936104494</v>
      </c>
      <c r="AP8" s="21">
        <f>'Inputs'!$E$20*POWER(1+'Inputs'!$E$22,38)*'Inputs'!$E$21</f>
        <v>3169.436905146061</v>
      </c>
      <c r="AQ8" s="21">
        <f>'Inputs'!$E$20*POWER(1+'Inputs'!$E$22,39)*'Inputs'!$E$21</f>
        <v>3216.9784587232516</v>
      </c>
      <c r="AR8" s="21">
        <f>'Inputs'!$E$20*POWER(1+'Inputs'!$E$22,40)*'Inputs'!$E$21</f>
        <v>3265.2331356041</v>
      </c>
      <c r="AS8" s="21">
        <f>'Inputs'!$E$20*POWER(1+'Inputs'!$E$22,41)*'Inputs'!$E$21</f>
        <v>3314.211632638161</v>
      </c>
      <c r="AT8" s="21">
        <f>'Inputs'!$E$20*POWER(1+'Inputs'!$E$22,42)*'Inputs'!$E$21</f>
        <v>3363.924807127733</v>
      </c>
      <c r="AU8" s="21">
        <f>'Inputs'!$E$20*POWER(1+'Inputs'!$E$22,43)*'Inputs'!$E$21</f>
        <v>3414.383679234649</v>
      </c>
    </row>
    <row r="9" spans="1:48">
      <c r="A9" s="5" t="s">
        <v>202</v>
      </c>
      <c r="B9" s="12" t="s">
        <v>49</v>
      </c>
      <c r="C9" s="14" t="s">
        <v>203</v>
      </c>
      <c r="D9" s="21">
        <f>MAX(0,D36-D7-D8)*(IF(D$5&lt;'Inputs'!$E$23,0,CHOOSE(MIN(7,MAX(1,(YEAR(D$5)-YEAR('Inputs'!$E$23))*12+MONTH(D$5)-MONTH('Inputs'!$E$23)+1)),'Inputs'!$E$50,'Inputs'!$E$51,'Inputs'!$E$52,'Inputs'!$E$53,'Inputs'!$E$54,'Inputs'!$E$55,'Inputs'!$E$55)))</f>
        <v>0.0</v>
      </c>
      <c r="E9" s="21">
        <f>MAX(0,E36-E7-E8)*(IF(E$5&lt;'Inputs'!$E$23,0,CHOOSE(MIN(7,MAX(1,(YEAR(E$5)-YEAR('Inputs'!$E$23))*12+MONTH(E$5)-MONTH('Inputs'!$E$23)+1)),'Inputs'!$E$50,'Inputs'!$E$51,'Inputs'!$E$52,'Inputs'!$E$53,'Inputs'!$E$54,'Inputs'!$E$55,'Inputs'!$E$55)))</f>
        <v>0.0</v>
      </c>
      <c r="F9" s="21">
        <f>MAX(0,F36-F7-F8)*(IF(F$5&lt;'Inputs'!$E$23,0,CHOOSE(MIN(7,MAX(1,(YEAR(F$5)-YEAR('Inputs'!$E$23))*12+MONTH(F$5)-MONTH('Inputs'!$E$23)+1)),'Inputs'!$E$50,'Inputs'!$E$51,'Inputs'!$E$52,'Inputs'!$E$53,'Inputs'!$E$54,'Inputs'!$E$55,'Inputs'!$E$55)))</f>
        <v>0.0</v>
      </c>
      <c r="G9" s="21">
        <f>MAX(0,G36-G7-G8)*(IF(G$5&lt;'Inputs'!$E$23,0,CHOOSE(MIN(7,MAX(1,(YEAR(G$5)-YEAR('Inputs'!$E$23))*12+MONTH(G$5)-MONTH('Inputs'!$E$23)+1)),'Inputs'!$E$50,'Inputs'!$E$51,'Inputs'!$E$52,'Inputs'!$E$53,'Inputs'!$E$54,'Inputs'!$E$55,'Inputs'!$E$55)))</f>
        <v>0.0</v>
      </c>
      <c r="H9" s="21">
        <f>MAX(0,H36-H7-H8)*(IF(H$5&lt;'Inputs'!$E$23,0,CHOOSE(MIN(7,MAX(1,(YEAR(H$5)-YEAR('Inputs'!$E$23))*12+MONTH(H$5)-MONTH('Inputs'!$E$23)+1)),'Inputs'!$E$50,'Inputs'!$E$51,'Inputs'!$E$52,'Inputs'!$E$53,'Inputs'!$E$54,'Inputs'!$E$55,'Inputs'!$E$55)))</f>
        <v>0.0</v>
      </c>
      <c r="I9" s="21">
        <f>MAX(0,I36-I7-I8)*(IF(I$5&lt;'Inputs'!$E$23,0,CHOOSE(MIN(7,MAX(1,(YEAR(I$5)-YEAR('Inputs'!$E$23))*12+MONTH(I$5)-MONTH('Inputs'!$E$23)+1)),'Inputs'!$E$50,'Inputs'!$E$51,'Inputs'!$E$52,'Inputs'!$E$53,'Inputs'!$E$54,'Inputs'!$E$55,'Inputs'!$E$55)))</f>
        <v>10990.03732881563</v>
      </c>
      <c r="J9" s="21">
        <f>MAX(0,J36-J7-J8)*(IF(J$5&lt;'Inputs'!$E$23,0,CHOOSE(MIN(7,MAX(1,(YEAR(J$5)-YEAR('Inputs'!$E$23))*12+MONTH(J$5)-MONTH('Inputs'!$E$23)+1)),'Inputs'!$E$50,'Inputs'!$E$51,'Inputs'!$E$52,'Inputs'!$E$53,'Inputs'!$E$54,'Inputs'!$E$55,'Inputs'!$E$55)))</f>
        <v>15662.73239792026</v>
      </c>
      <c r="K9" s="21">
        <f>MAX(0,K36-K7-K8)*(IF(K$5&lt;'Inputs'!$E$23,0,CHOOSE(MIN(7,MAX(1,(YEAR(K$5)-YEAR('Inputs'!$E$23))*12+MONTH(K$5)-MONTH('Inputs'!$E$23)+1)),'Inputs'!$E$50,'Inputs'!$E$51,'Inputs'!$E$52,'Inputs'!$E$53,'Inputs'!$E$54,'Inputs'!$E$55,'Inputs'!$E$55)))</f>
        <v>20312.45520590155</v>
      </c>
      <c r="L9" s="21">
        <f>MAX(0,L36-L7-L8)*(IF(L$5&lt;'Inputs'!$E$23,0,CHOOSE(MIN(7,MAX(1,(YEAR(L$5)-YEAR('Inputs'!$E$23))*12+MONTH(L$5)-MONTH('Inputs'!$E$23)+1)),'Inputs'!$E$50,'Inputs'!$E$51,'Inputs'!$E$52,'Inputs'!$E$53,'Inputs'!$E$54,'Inputs'!$E$55,'Inputs'!$E$55)))</f>
        <v>31675.63764464336</v>
      </c>
      <c r="M9" s="21">
        <f>MAX(0,M36-M7-M8)*(IF(M$5&lt;'Inputs'!$E$23,0,CHOOSE(MIN(7,MAX(1,(YEAR(M$5)-YEAR('Inputs'!$E$23))*12+MONTH(M$5)-MONTH('Inputs'!$E$23)+1)),'Inputs'!$E$50,'Inputs'!$E$51,'Inputs'!$E$52,'Inputs'!$E$53,'Inputs'!$E$54,'Inputs'!$E$55,'Inputs'!$E$55)))</f>
        <v>35565.476578511436</v>
      </c>
      <c r="N9" s="21">
        <f>MAX(0,N36-N7-N8)*(IF(N$5&lt;'Inputs'!$E$23,0,CHOOSE(MIN(7,MAX(1,(YEAR(N$5)-YEAR('Inputs'!$E$23))*12+MONTH(N$5)-MONTH('Inputs'!$E$23)+1)),'Inputs'!$E$50,'Inputs'!$E$51,'Inputs'!$E$52,'Inputs'!$E$53,'Inputs'!$E$54,'Inputs'!$E$55,'Inputs'!$E$55)))</f>
        <v>39438.91975581412</v>
      </c>
      <c r="O9" s="21">
        <f>MAX(0,O36-O7-O8)*(IF(O$5&lt;'Inputs'!$E$23,0,CHOOSE(MIN(7,MAX(1,(YEAR(O$5)-YEAR('Inputs'!$E$23))*12+MONTH(O$5)-MONTH('Inputs'!$E$23)+1)),'Inputs'!$E$50,'Inputs'!$E$51,'Inputs'!$E$52,'Inputs'!$E$53,'Inputs'!$E$54,'Inputs'!$E$55,'Inputs'!$E$55)))</f>
        <v>39359.706191210185</v>
      </c>
      <c r="P9" s="21">
        <f>MAX(0,P36-P7-P8)*(IF(P$5&lt;'Inputs'!$E$23,0,CHOOSE(MIN(7,MAX(1,(YEAR(P$5)-YEAR('Inputs'!$E$23))*12+MONTH(P$5)-MONTH('Inputs'!$E$23)+1)),'Inputs'!$E$50,'Inputs'!$E$51,'Inputs'!$E$52,'Inputs'!$E$53,'Inputs'!$E$54,'Inputs'!$E$55,'Inputs'!$E$55)))</f>
        <v>39279.54381794884</v>
      </c>
      <c r="Q9" s="21">
        <f>MAX(0,Q36-Q7-Q8)*(IF(Q$5&lt;'Inputs'!$E$23,0,CHOOSE(MIN(7,MAX(1,(YEAR(Q$5)-YEAR('Inputs'!$E$23))*12+MONTH(Q$5)-MONTH('Inputs'!$E$23)+1)),'Inputs'!$E$50,'Inputs'!$E$51,'Inputs'!$E$52,'Inputs'!$E$53,'Inputs'!$E$54,'Inputs'!$E$55,'Inputs'!$E$55)))</f>
        <v>39198.42079784833</v>
      </c>
      <c r="R9" s="21">
        <f>MAX(0,R36-R7-R8)*(IF(R$5&lt;'Inputs'!$E$23,0,CHOOSE(MIN(7,MAX(1,(YEAR(R$5)-YEAR('Inputs'!$E$23))*12+MONTH(R$5)-MONTH('Inputs'!$E$23)+1)),'Inputs'!$E$50,'Inputs'!$E$51,'Inputs'!$E$52,'Inputs'!$E$53,'Inputs'!$E$54,'Inputs'!$E$55,'Inputs'!$E$55)))</f>
        <v>39116.32513909367</v>
      </c>
      <c r="S9" s="21">
        <f>MAX(0,S36-S7-S8)*(IF(S$5&lt;'Inputs'!$E$23,0,CHOOSE(MIN(7,MAX(1,(YEAR(S$5)-YEAR('Inputs'!$E$23))*12+MONTH(S$5)-MONTH('Inputs'!$E$23)+1)),'Inputs'!$E$50,'Inputs'!$E$51,'Inputs'!$E$52,'Inputs'!$E$53,'Inputs'!$E$54,'Inputs'!$E$55,'Inputs'!$E$55)))</f>
        <v>44959.5604836452</v>
      </c>
      <c r="T9" s="21">
        <f>MAX(0,T36-T7-T8)*(IF(T$5&lt;'Inputs'!$E$23,0,CHOOSE(MIN(7,MAX(1,(YEAR(T$5)-YEAR('Inputs'!$E$23))*12+MONTH(T$5)-MONTH('Inputs'!$E$23)+1)),'Inputs'!$E$50,'Inputs'!$E$51,'Inputs'!$E$52,'Inputs'!$E$53,'Inputs'!$E$54,'Inputs'!$E$55,'Inputs'!$E$55)))</f>
        <v>44875.48294725018</v>
      </c>
      <c r="U9" s="21">
        <f>MAX(0,U36-U7-U8)*(IF(U$5&lt;'Inputs'!$E$23,0,CHOOSE(MIN(7,MAX(1,(YEAR(U$5)-YEAR('Inputs'!$E$23))*12+MONTH(U$5)-MONTH('Inputs'!$E$23)+1)),'Inputs'!$E$50,'Inputs'!$E$51,'Inputs'!$E$52,'Inputs'!$E$53,'Inputs'!$E$54,'Inputs'!$E$55,'Inputs'!$E$55)))</f>
        <v>44790.39585416222</v>
      </c>
      <c r="V9" s="21">
        <f>MAX(0,V36-V7-V8)*(IF(V$5&lt;'Inputs'!$E$23,0,CHOOSE(MIN(7,MAX(1,(YEAR(V$5)-YEAR('Inputs'!$E$23))*12+MONTH(V$5)-MONTH('Inputs'!$E$23)+1)),'Inputs'!$E$50,'Inputs'!$E$51,'Inputs'!$E$52,'Inputs'!$E$53,'Inputs'!$E$54,'Inputs'!$E$55,'Inputs'!$E$55)))</f>
        <v>44704.28657709444</v>
      </c>
      <c r="W9" s="21">
        <f>MAX(0,W36-W7-W8)*(IF(W$5&lt;'Inputs'!$E$23,0,CHOOSE(MIN(7,MAX(1,(YEAR(W$5)-YEAR('Inputs'!$E$23))*12+MONTH(W$5)-MONTH('Inputs'!$E$23)+1)),'Inputs'!$E$50,'Inputs'!$E$51,'Inputs'!$E$52,'Inputs'!$E$53,'Inputs'!$E$54,'Inputs'!$E$55,'Inputs'!$E$55)))</f>
        <v>44617.14232451132</v>
      </c>
      <c r="X9" s="21">
        <f>MAX(0,X36-X7-X8)*(IF(X$5&lt;'Inputs'!$E$23,0,CHOOSE(MIN(7,MAX(1,(YEAR(X$5)-YEAR('Inputs'!$E$23))*12+MONTH(X$5)-MONTH('Inputs'!$E$23)+1)),'Inputs'!$E$50,'Inputs'!$E$51,'Inputs'!$E$52,'Inputs'!$E$53,'Inputs'!$E$54,'Inputs'!$E$55,'Inputs'!$E$55)))</f>
        <v>44528.950138416534</v>
      </c>
      <c r="Y9" s="21">
        <f>MAX(0,Y36-Y7-Y8)*(IF(Y$5&lt;'Inputs'!$E$23,0,CHOOSE(MIN(7,MAX(1,(YEAR(Y$5)-YEAR('Inputs'!$E$23))*12+MONTH(Y$5)-MONTH('Inputs'!$E$23)+1)),'Inputs'!$E$50,'Inputs'!$E$51,'Inputs'!$E$52,'Inputs'!$E$53,'Inputs'!$E$54,'Inputs'!$E$55,'Inputs'!$E$55)))</f>
        <v>44439.696892110165</v>
      </c>
      <c r="Z9" s="21">
        <f>MAX(0,Z36-Z7-Z8)*(IF(Z$5&lt;'Inputs'!$E$23,0,CHOOSE(MIN(7,MAX(1,(YEAR(Z$5)-YEAR('Inputs'!$E$23))*12+MONTH(Z$5)-MONTH('Inputs'!$E$23)+1)),'Inputs'!$E$50,'Inputs'!$E$51,'Inputs'!$E$52,'Inputs'!$E$53,'Inputs'!$E$54,'Inputs'!$E$55,'Inputs'!$E$55)))</f>
        <v>44349.36928791485</v>
      </c>
      <c r="AA9" s="21">
        <f>MAX(0,AA36-AA7-AA8)*(IF(AA$5&lt;'Inputs'!$E$23,0,CHOOSE(MIN(7,MAX(1,(YEAR(AA$5)-YEAR('Inputs'!$E$23))*12+MONTH(AA$5)-MONTH('Inputs'!$E$23)+1)),'Inputs'!$E$50,'Inputs'!$E$51,'Inputs'!$E$52,'Inputs'!$E$53,'Inputs'!$E$54,'Inputs'!$E$55,'Inputs'!$E$55)))</f>
        <v>44257.95385487031</v>
      </c>
      <c r="AB9" s="21">
        <f>MAX(0,AB36-AB7-AB8)*(IF(AB$5&lt;'Inputs'!$E$23,0,CHOOSE(MIN(7,MAX(1,(YEAR(AB$5)-YEAR('Inputs'!$E$23))*12+MONTH(AB$5)-MONTH('Inputs'!$E$23)+1)),'Inputs'!$E$50,'Inputs'!$E$51,'Inputs'!$E$52,'Inputs'!$E$53,'Inputs'!$E$54,'Inputs'!$E$55,'Inputs'!$E$55)))</f>
        <v>44165.43694639595</v>
      </c>
      <c r="AC9" s="21">
        <f>MAX(0,AC36-AC7-AC8)*(IF(AC$5&lt;'Inputs'!$E$23,0,CHOOSE(MIN(7,MAX(1,(YEAR(AC$5)-YEAR('Inputs'!$E$23))*12+MONTH(AC$5)-MONTH('Inputs'!$E$23)+1)),'Inputs'!$E$50,'Inputs'!$E$51,'Inputs'!$E$52,'Inputs'!$E$53,'Inputs'!$E$54,'Inputs'!$E$55,'Inputs'!$E$55)))</f>
        <v>44071.804737920975</v>
      </c>
      <c r="AD9" s="21">
        <f>MAX(0,AD36-AD7-AD8)*(IF(AD$5&lt;'Inputs'!$E$23,0,CHOOSE(MIN(7,MAX(1,(YEAR(AD$5)-YEAR('Inputs'!$E$23))*12+MONTH(AD$5)-MONTH('Inputs'!$E$23)+1)),'Inputs'!$E$50,'Inputs'!$E$51,'Inputs'!$E$52,'Inputs'!$E$53,'Inputs'!$E$54,'Inputs'!$E$55,'Inputs'!$E$55)))</f>
        <v>43977.04322448163</v>
      </c>
      <c r="AE9" s="21">
        <f>MAX(0,AE36-AE7-AE8)*(IF(AE$5&lt;'Inputs'!$E$23,0,CHOOSE(MIN(7,MAX(1,(YEAR(AE$5)-YEAR('Inputs'!$E$23))*12+MONTH(AE$5)-MONTH('Inputs'!$E$23)+1)),'Inputs'!$E$50,'Inputs'!$E$51,'Inputs'!$E$52,'Inputs'!$E$53,'Inputs'!$E$54,'Inputs'!$E$55,'Inputs'!$E$55)))</f>
        <v>43881.138218285094</v>
      </c>
      <c r="AF9" s="21">
        <f>MAX(0,AF36-AF7-AF8)*(IF(AF$5&lt;'Inputs'!$E$23,0,CHOOSE(MIN(7,MAX(1,(YEAR(AF$5)-YEAR('Inputs'!$E$23))*12+MONTH(AF$5)-MONTH('Inputs'!$E$23)+1)),'Inputs'!$E$50,'Inputs'!$E$51,'Inputs'!$E$52,'Inputs'!$E$53,'Inputs'!$E$54,'Inputs'!$E$55,'Inputs'!$E$55)))</f>
        <v>43784.07534623944</v>
      </c>
      <c r="AG9" s="21">
        <f>MAX(0,AG36-AG7-AG8)*(IF(AG$5&lt;'Inputs'!$E$23,0,CHOOSE(MIN(7,MAX(1,(YEAR(AG$5)-YEAR('Inputs'!$E$23))*12+MONTH(AG$5)-MONTH('Inputs'!$E$23)+1)),'Inputs'!$E$50,'Inputs'!$E$51,'Inputs'!$E$52,'Inputs'!$E$53,'Inputs'!$E$54,'Inputs'!$E$55,'Inputs'!$E$55)))</f>
        <v>43685.840047449376</v>
      </c>
      <c r="AH9" s="21">
        <f>MAX(0,AH36-AH7-AH8)*(IF(AH$5&lt;'Inputs'!$E$23,0,CHOOSE(MIN(7,MAX(1,(YEAR(AH$5)-YEAR('Inputs'!$E$23))*12+MONTH(AH$5)-MONTH('Inputs'!$E$23)+1)),'Inputs'!$E$50,'Inputs'!$E$51,'Inputs'!$E$52,'Inputs'!$E$53,'Inputs'!$E$54,'Inputs'!$E$55,'Inputs'!$E$55)))</f>
        <v>43586.417570677106</v>
      </c>
      <c r="AI9" s="21">
        <f>MAX(0,AI36-AI7-AI8)*(IF(AI$5&lt;'Inputs'!$E$23,0,CHOOSE(MIN(7,MAX(1,(YEAR(AI$5)-YEAR('Inputs'!$E$23))*12+MONTH(AI$5)-MONTH('Inputs'!$E$23)+1)),'Inputs'!$E$50,'Inputs'!$E$51,'Inputs'!$E$52,'Inputs'!$E$53,'Inputs'!$E$54,'Inputs'!$E$55,'Inputs'!$E$55)))</f>
        <v>43485.792971767885</v>
      </c>
      <c r="AJ9" s="21">
        <f>MAX(0,AJ36-AJ7-AJ8)*(IF(AJ$5&lt;'Inputs'!$E$23,0,CHOOSE(MIN(7,MAX(1,(YEAR(AJ$5)-YEAR('Inputs'!$E$23))*12+MONTH(AJ$5)-MONTH('Inputs'!$E$23)+1)),'Inputs'!$E$50,'Inputs'!$E$51,'Inputs'!$E$52,'Inputs'!$E$53,'Inputs'!$E$54,'Inputs'!$E$55,'Inputs'!$E$55)))</f>
        <v>43383.951111039794</v>
      </c>
      <c r="AK9" s="21">
        <f>MAX(0,AK36-AK7-AK8)*(IF(AK$5&lt;'Inputs'!$E$23,0,CHOOSE(MIN(7,MAX(1,(YEAR(AK$5)-YEAR('Inputs'!$E$23))*12+MONTH(AK$5)-MONTH('Inputs'!$E$23)+1)),'Inputs'!$E$50,'Inputs'!$E$51,'Inputs'!$E$52,'Inputs'!$E$53,'Inputs'!$E$54,'Inputs'!$E$55,'Inputs'!$E$55)))</f>
        <v>43280.87665063722</v>
      </c>
      <c r="AL9" s="21">
        <f>MAX(0,AL36-AL7-AL8)*(IF(AL$5&lt;'Inputs'!$E$23,0,CHOOSE(MIN(7,MAX(1,(YEAR(AL$5)-YEAR('Inputs'!$E$23))*12+MONTH(AL$5)-MONTH('Inputs'!$E$23)+1)),'Inputs'!$E$50,'Inputs'!$E$51,'Inputs'!$E$52,'Inputs'!$E$53,'Inputs'!$E$54,'Inputs'!$E$55,'Inputs'!$E$55)))</f>
        <v>43176.55405184739</v>
      </c>
      <c r="AM9" s="21">
        <f>MAX(0,AM36-AM7-AM8)*(IF(AM$5&lt;'Inputs'!$E$23,0,CHOOSE(MIN(7,MAX(1,(YEAR(AM$5)-YEAR('Inputs'!$E$23))*12+MONTH(AM$5)-MONTH('Inputs'!$E$23)+1)),'Inputs'!$E$50,'Inputs'!$E$51,'Inputs'!$E$52,'Inputs'!$E$53,'Inputs'!$E$54,'Inputs'!$E$55,'Inputs'!$E$55)))</f>
        <v>43070.967572379705</v>
      </c>
      <c r="AN9" s="21">
        <f>MAX(0,AN36-AN7-AN8)*(IF(AN$5&lt;'Inputs'!$E$23,0,CHOOSE(MIN(7,MAX(1,(YEAR(AN$5)-YEAR('Inputs'!$E$23))*12+MONTH(AN$5)-MONTH('Inputs'!$E$23)+1)),'Inputs'!$E$50,'Inputs'!$E$51,'Inputs'!$E$52,'Inputs'!$E$53,'Inputs'!$E$54,'Inputs'!$E$55,'Inputs'!$E$55)))</f>
        <v>42964.101263607015</v>
      </c>
      <c r="AO9" s="21">
        <f>MAX(0,AO36-AO7-AO8)*(IF(AO$5&lt;'Inputs'!$E$23,0,CHOOSE(MIN(7,MAX(1,(YEAR(AO$5)-YEAR('Inputs'!$E$23))*12+MONTH(AO$5)-MONTH('Inputs'!$E$23)+1)),'Inputs'!$E$50,'Inputs'!$E$51,'Inputs'!$E$52,'Inputs'!$E$53,'Inputs'!$E$54,'Inputs'!$E$55,'Inputs'!$E$55)))</f>
        <v>42855.93896776863</v>
      </c>
      <c r="AP9" s="21">
        <f>MAX(0,AP36-AP7-AP8)*(IF(AP$5&lt;'Inputs'!$E$23,0,CHOOSE(MIN(7,MAX(1,(YEAR(AP$5)-YEAR('Inputs'!$E$23))*12+MONTH(AP$5)-MONTH('Inputs'!$E$23)+1)),'Inputs'!$E$50,'Inputs'!$E$51,'Inputs'!$E$52,'Inputs'!$E$53,'Inputs'!$E$54,'Inputs'!$E$55,'Inputs'!$E$55)))</f>
        <v>42746.46431513422</v>
      </c>
      <c r="AQ9" s="21">
        <f>MAX(0,AQ36-AQ7-AQ8)*(IF(AQ$5&lt;'Inputs'!$E$23,0,CHOOSE(MIN(7,MAX(1,(YEAR(AQ$5)-YEAR('Inputs'!$E$23))*12+MONTH(AQ$5)-MONTH('Inputs'!$E$23)+1)),'Inputs'!$E$50,'Inputs'!$E$51,'Inputs'!$E$52,'Inputs'!$E$53,'Inputs'!$E$54,'Inputs'!$E$55,'Inputs'!$E$55)))</f>
        <v>42635.660721128246</v>
      </c>
      <c r="AR9" s="21">
        <f>MAX(0,AR36-AR7-AR8)*(IF(AR$5&lt;'Inputs'!$E$23,0,CHOOSE(MIN(7,MAX(1,(YEAR(AR$5)-YEAR('Inputs'!$E$23))*12+MONTH(AR$5)-MONTH('Inputs'!$E$23)+1)),'Inputs'!$E$50,'Inputs'!$E$51,'Inputs'!$E$52,'Inputs'!$E$53,'Inputs'!$E$54,'Inputs'!$E$55,'Inputs'!$E$55)))</f>
        <v>42523.511383414334</v>
      </c>
      <c r="AS9" s="21">
        <f>MAX(0,AS36-AS7-AS8)*(IF(AS$5&lt;'Inputs'!$E$23,0,CHOOSE(MIN(7,MAX(1,(YEAR(AS$5)-YEAR('Inputs'!$E$23))*12+MONTH(AS$5)-MONTH('Inputs'!$E$23)+1)),'Inputs'!$E$50,'Inputs'!$E$51,'Inputs'!$E$52,'Inputs'!$E$53,'Inputs'!$E$54,'Inputs'!$E$55,'Inputs'!$E$55)))</f>
        <v>42409.999278938885</v>
      </c>
      <c r="AT9" s="21">
        <f>MAX(0,AT36-AT7-AT8)*(IF(AT$5&lt;'Inputs'!$E$23,0,CHOOSE(MIN(7,MAX(1,(YEAR(AT$5)-YEAR('Inputs'!$E$23))*12+MONTH(AT$5)-MONTH('Inputs'!$E$23)+1)),'Inputs'!$E$50,'Inputs'!$E$51,'Inputs'!$E$52,'Inputs'!$E$53,'Inputs'!$E$54,'Inputs'!$E$55,'Inputs'!$E$55)))</f>
        <v>42295.1071609335</v>
      </c>
      <c r="AU9" s="21">
        <f>MAX(0,AU36-AU7-AU8)*(IF(AU$5&lt;'Inputs'!$E$23,0,CHOOSE(MIN(7,MAX(1,(YEAR(AU$5)-YEAR('Inputs'!$E$23))*12+MONTH(AU$5)-MONTH('Inputs'!$E$23)+1)),'Inputs'!$E$50,'Inputs'!$E$51,'Inputs'!$E$52,'Inputs'!$E$53,'Inputs'!$E$54,'Inputs'!$E$55,'Inputs'!$E$55)))</f>
        <v>42178.81755587562</v>
      </c>
    </row>
    <row r="10" spans="1:48">
      <c r="A10" s="19" t="s">
        <v>204</v>
      </c>
      <c r="B10" s="12" t="s">
        <v>49</v>
      </c>
      <c r="C10" s="14" t="s">
        <v>205</v>
      </c>
      <c r="D10" s="20">
        <f>SUM(D7:D9)</f>
        <v>6134.42</v>
      </c>
      <c r="E10" s="20">
        <f>SUM(E7:E9)</f>
        <v>6204.7642000000005</v>
      </c>
      <c r="F10" s="20">
        <f>SUM(F7:F9)</f>
        <v>6275.946842</v>
      </c>
      <c r="G10" s="20">
        <f>SUM(G7:G9)</f>
        <v>6347.97833542</v>
      </c>
      <c r="H10" s="20">
        <f>SUM(H7:H9)</f>
        <v>6420.8692241492</v>
      </c>
      <c r="I10" s="20">
        <f>SUM(I7:I9)</f>
        <v>17484.667517161946</v>
      </c>
      <c r="J10" s="20">
        <f>SUM(J7:J9)</f>
        <v>22232.004444184997</v>
      </c>
      <c r="K10" s="20">
        <f>SUM(K7:K9)</f>
        <v>26957.26096200442</v>
      </c>
      <c r="L10" s="20">
        <f>SUM(L7:L9)</f>
        <v>38396.88006252338</v>
      </c>
      <c r="M10" s="20">
        <f>SUM(M7:M9)</f>
        <v>42364.06985384961</v>
      </c>
      <c r="N10" s="20">
        <f>SUM(N7:N9)</f>
        <v>46315.78947368422</v>
      </c>
      <c r="O10" s="20">
        <f>SUM(O7:O9)</f>
        <v>46315.78947368421</v>
      </c>
      <c r="P10" s="20">
        <f>SUM(P7:P9)</f>
        <v>46315.78947368421</v>
      </c>
      <c r="Q10" s="20">
        <f>SUM(Q7:Q9)</f>
        <v>46315.78947368421</v>
      </c>
      <c r="R10" s="20">
        <f>SUM(R7:R9)</f>
        <v>46315.78947368421</v>
      </c>
      <c r="S10" s="20">
        <f>SUM(S7:S9)</f>
        <v>52242.105263157886</v>
      </c>
      <c r="T10" s="20">
        <f>SUM(T7:T9)</f>
        <v>52242.10526315789</v>
      </c>
      <c r="U10" s="20">
        <f>SUM(U7:U9)</f>
        <v>52242.10526315789</v>
      </c>
      <c r="V10" s="20">
        <f>SUM(V7:V9)</f>
        <v>52242.10526315789</v>
      </c>
      <c r="W10" s="20">
        <f>SUM(W7:W9)</f>
        <v>52242.10526315789</v>
      </c>
      <c r="X10" s="20">
        <f>SUM(X7:X9)</f>
        <v>52242.1052631579</v>
      </c>
      <c r="Y10" s="20">
        <f>SUM(Y7:Y9)</f>
        <v>52242.10526315789</v>
      </c>
      <c r="Z10" s="20">
        <f>SUM(Z7:Z9)</f>
        <v>52242.10526315789</v>
      </c>
      <c r="AA10" s="20">
        <f>SUM(AA7:AA9)</f>
        <v>52242.10526315789</v>
      </c>
      <c r="AB10" s="20">
        <f>SUM(AB7:AB9)</f>
        <v>52242.10526315789</v>
      </c>
      <c r="AC10" s="20">
        <f>SUM(AC7:AC9)</f>
        <v>52242.10526315789</v>
      </c>
      <c r="AD10" s="20">
        <f>SUM(AD7:AD9)</f>
        <v>52242.10526315789</v>
      </c>
      <c r="AE10" s="20">
        <f>SUM(AE7:AE9)</f>
        <v>52242.10526315789</v>
      </c>
      <c r="AF10" s="20">
        <f>SUM(AF7:AF9)</f>
        <v>52242.10526315789</v>
      </c>
      <c r="AG10" s="20">
        <f>SUM(AG7:AG9)</f>
        <v>52242.105263157886</v>
      </c>
      <c r="AH10" s="20">
        <f>SUM(AH7:AH9)</f>
        <v>52242.10526315789</v>
      </c>
      <c r="AI10" s="20">
        <f>SUM(AI7:AI9)</f>
        <v>52242.1052631579</v>
      </c>
      <c r="AJ10" s="20">
        <f>SUM(AJ7:AJ9)</f>
        <v>52242.10526315789</v>
      </c>
      <c r="AK10" s="20">
        <f>SUM(AK7:AK9)</f>
        <v>52242.10526315789</v>
      </c>
      <c r="AL10" s="20">
        <f>SUM(AL7:AL9)</f>
        <v>52242.10526315789</v>
      </c>
      <c r="AM10" s="20">
        <f>SUM(AM7:AM9)</f>
        <v>52242.10526315789</v>
      </c>
      <c r="AN10" s="20">
        <f>SUM(AN7:AN9)</f>
        <v>52242.10526315789</v>
      </c>
      <c r="AO10" s="20">
        <f>SUM(AO7:AO9)</f>
        <v>52242.10526315789</v>
      </c>
      <c r="AP10" s="20">
        <f>SUM(AP7:AP9)</f>
        <v>52242.10526315789</v>
      </c>
      <c r="AQ10" s="20">
        <f>SUM(AQ7:AQ9)</f>
        <v>52242.10526315789</v>
      </c>
      <c r="AR10" s="20">
        <f>SUM(AR7:AR9)</f>
        <v>52242.10526315789</v>
      </c>
      <c r="AS10" s="20">
        <f>SUM(AS7:AS9)</f>
        <v>52242.1052631579</v>
      </c>
      <c r="AT10" s="20">
        <f>SUM(AT7:AT9)</f>
        <v>52242.10526315789</v>
      </c>
      <c r="AU10" s="20">
        <f>SUM(AU7:AU9)</f>
        <v>52242.10526315789</v>
      </c>
    </row>
    <row r="11" spans="1:48">
      <c r="A11" s="5" t="s">
        <v>206</v>
      </c>
      <c r="B11" s="12" t="s">
        <v>49</v>
      </c>
      <c r="C11" s="14" t="s">
        <v>207</v>
      </c>
      <c r="D11" s="21">
        <f>'Inputs'!$E$11*'Inputs'!$E$48*(IF(D$5&lt;'Inputs'!$E$57,0,IF(D$5&lt;='Inputs'!$E$58,'Inputs'!$E$10,IF(D$5&gt;='Inputs'!$E$59,'Inputs'!$E$9,0))))</f>
        <v>5400.0</v>
      </c>
      <c r="E11" s="21">
        <f>'Inputs'!$E$11*'Inputs'!$E$48*(IF(E$5&lt;'Inputs'!$E$57,0,IF(E$5&lt;='Inputs'!$E$58,'Inputs'!$E$10,IF(E$5&gt;='Inputs'!$E$59,'Inputs'!$E$9,0))))</f>
        <v>5400.0</v>
      </c>
      <c r="F11" s="21">
        <f>'Inputs'!$E$11*'Inputs'!$E$48*(IF(F$5&lt;'Inputs'!$E$57,0,IF(F$5&lt;='Inputs'!$E$58,'Inputs'!$E$10,IF(F$5&gt;='Inputs'!$E$59,'Inputs'!$E$9,0))))</f>
        <v>5400.0</v>
      </c>
      <c r="G11" s="21">
        <f>'Inputs'!$E$11*'Inputs'!$E$48*(IF(G$5&lt;'Inputs'!$E$57,0,IF(G$5&lt;='Inputs'!$E$58,'Inputs'!$E$10,IF(G$5&gt;='Inputs'!$E$59,'Inputs'!$E$9,0))))</f>
        <v>7200.0</v>
      </c>
      <c r="H11" s="21">
        <f>'Inputs'!$E$11*'Inputs'!$E$48*(IF(H$5&lt;'Inputs'!$E$57,0,IF(H$5&lt;='Inputs'!$E$58,'Inputs'!$E$10,IF(H$5&gt;='Inputs'!$E$59,'Inputs'!$E$9,0))))</f>
        <v>7200.0</v>
      </c>
      <c r="I11" s="21">
        <f>'Inputs'!$E$11*'Inputs'!$E$48*(IF(I$5&lt;'Inputs'!$E$57,0,IF(I$5&lt;='Inputs'!$E$58,'Inputs'!$E$10,IF(I$5&gt;='Inputs'!$E$59,'Inputs'!$E$9,0))))</f>
        <v>7200.0</v>
      </c>
      <c r="J11" s="21">
        <f>'Inputs'!$E$11*'Inputs'!$E$48*(IF(J$5&lt;'Inputs'!$E$57,0,IF(J$5&lt;='Inputs'!$E$58,'Inputs'!$E$10,IF(J$5&gt;='Inputs'!$E$59,'Inputs'!$E$9,0))))</f>
        <v>7200.0</v>
      </c>
      <c r="K11" s="21">
        <f>'Inputs'!$E$11*'Inputs'!$E$48*(IF(K$5&lt;'Inputs'!$E$57,0,IF(K$5&lt;='Inputs'!$E$58,'Inputs'!$E$10,IF(K$5&gt;='Inputs'!$E$59,'Inputs'!$E$9,0))))</f>
        <v>7200.0</v>
      </c>
      <c r="L11" s="21">
        <f>'Inputs'!$E$11*'Inputs'!$E$48*(IF(L$5&lt;'Inputs'!$E$57,0,IF(L$5&lt;='Inputs'!$E$58,'Inputs'!$E$10,IF(L$5&gt;='Inputs'!$E$59,'Inputs'!$E$9,0))))</f>
        <v>7200.0</v>
      </c>
      <c r="M11" s="21">
        <f>'Inputs'!$E$11*'Inputs'!$E$48*(IF(M$5&lt;'Inputs'!$E$57,0,IF(M$5&lt;='Inputs'!$E$58,'Inputs'!$E$10,IF(M$5&gt;='Inputs'!$E$59,'Inputs'!$E$9,0))))</f>
        <v>7200.0</v>
      </c>
      <c r="N11" s="21">
        <f>'Inputs'!$E$11*'Inputs'!$E$48*(IF(N$5&lt;'Inputs'!$E$57,0,IF(N$5&lt;='Inputs'!$E$58,'Inputs'!$E$10,IF(N$5&gt;='Inputs'!$E$59,'Inputs'!$E$9,0))))</f>
        <v>7200.0</v>
      </c>
      <c r="O11" s="21">
        <f>'Inputs'!$E$11*'Inputs'!$E$48*(IF(O$5&lt;'Inputs'!$E$57,0,IF(O$5&lt;='Inputs'!$E$58,'Inputs'!$E$10,IF(O$5&gt;='Inputs'!$E$59,'Inputs'!$E$9,0))))</f>
        <v>7200.0</v>
      </c>
      <c r="P11" s="21">
        <f>'Inputs'!$E$11*'Inputs'!$E$48*(IF(P$5&lt;'Inputs'!$E$57,0,IF(P$5&lt;='Inputs'!$E$58,'Inputs'!$E$10,IF(P$5&gt;='Inputs'!$E$59,'Inputs'!$E$9,0))))</f>
        <v>7200.0</v>
      </c>
      <c r="Q11" s="21">
        <f>'Inputs'!$E$11*'Inputs'!$E$48*(IF(Q$5&lt;'Inputs'!$E$57,0,IF(Q$5&lt;='Inputs'!$E$58,'Inputs'!$E$10,IF(Q$5&gt;='Inputs'!$E$59,'Inputs'!$E$9,0))))</f>
        <v>7200.0</v>
      </c>
      <c r="R11" s="21">
        <f>'Inputs'!$E$11*'Inputs'!$E$48*(IF(R$5&lt;'Inputs'!$E$57,0,IF(R$5&lt;='Inputs'!$E$58,'Inputs'!$E$10,IF(R$5&gt;='Inputs'!$E$59,'Inputs'!$E$9,0))))</f>
        <v>7200.0</v>
      </c>
      <c r="S11" s="21">
        <f>'Inputs'!$E$11*'Inputs'!$E$48*(IF(S$5&lt;'Inputs'!$E$57,0,IF(S$5&lt;='Inputs'!$E$58,'Inputs'!$E$10,IF(S$5&gt;='Inputs'!$E$59,'Inputs'!$E$9,0))))</f>
        <v>7200.0</v>
      </c>
      <c r="T11" s="21">
        <f>'Inputs'!$E$11*'Inputs'!$E$48*(IF(T$5&lt;'Inputs'!$E$57,0,IF(T$5&lt;='Inputs'!$E$58,'Inputs'!$E$10,IF(T$5&gt;='Inputs'!$E$59,'Inputs'!$E$9,0))))</f>
        <v>7200.0</v>
      </c>
      <c r="U11" s="21">
        <f>'Inputs'!$E$11*'Inputs'!$E$48*(IF(U$5&lt;'Inputs'!$E$57,0,IF(U$5&lt;='Inputs'!$E$58,'Inputs'!$E$10,IF(U$5&gt;='Inputs'!$E$59,'Inputs'!$E$9,0))))</f>
        <v>7200.0</v>
      </c>
      <c r="V11" s="21">
        <f>'Inputs'!$E$11*'Inputs'!$E$48*(IF(V$5&lt;'Inputs'!$E$57,0,IF(V$5&lt;='Inputs'!$E$58,'Inputs'!$E$10,IF(V$5&gt;='Inputs'!$E$59,'Inputs'!$E$9,0))))</f>
        <v>7200.0</v>
      </c>
      <c r="W11" s="21">
        <f>'Inputs'!$E$11*'Inputs'!$E$48*(IF(W$5&lt;'Inputs'!$E$57,0,IF(W$5&lt;='Inputs'!$E$58,'Inputs'!$E$10,IF(W$5&gt;='Inputs'!$E$59,'Inputs'!$E$9,0))))</f>
        <v>7200.0</v>
      </c>
      <c r="X11" s="21">
        <f>'Inputs'!$E$11*'Inputs'!$E$48*(IF(X$5&lt;'Inputs'!$E$57,0,IF(X$5&lt;='Inputs'!$E$58,'Inputs'!$E$10,IF(X$5&gt;='Inputs'!$E$59,'Inputs'!$E$9,0))))</f>
        <v>7200.0</v>
      </c>
      <c r="Y11" s="21">
        <f>'Inputs'!$E$11*'Inputs'!$E$48*(IF(Y$5&lt;'Inputs'!$E$57,0,IF(Y$5&lt;='Inputs'!$E$58,'Inputs'!$E$10,IF(Y$5&gt;='Inputs'!$E$59,'Inputs'!$E$9,0))))</f>
        <v>7200.0</v>
      </c>
      <c r="Z11" s="21">
        <f>'Inputs'!$E$11*'Inputs'!$E$48*(IF(Z$5&lt;'Inputs'!$E$57,0,IF(Z$5&lt;='Inputs'!$E$58,'Inputs'!$E$10,IF(Z$5&gt;='Inputs'!$E$59,'Inputs'!$E$9,0))))</f>
        <v>7200.0</v>
      </c>
      <c r="AA11" s="21">
        <f>'Inputs'!$E$11*'Inputs'!$E$48*(IF(AA$5&lt;'Inputs'!$E$57,0,IF(AA$5&lt;='Inputs'!$E$58,'Inputs'!$E$10,IF(AA$5&gt;='Inputs'!$E$59,'Inputs'!$E$9,0))))</f>
        <v>7200.0</v>
      </c>
      <c r="AB11" s="21">
        <f>'Inputs'!$E$11*'Inputs'!$E$48*(IF(AB$5&lt;'Inputs'!$E$57,0,IF(AB$5&lt;='Inputs'!$E$58,'Inputs'!$E$10,IF(AB$5&gt;='Inputs'!$E$59,'Inputs'!$E$9,0))))</f>
        <v>7200.0</v>
      </c>
      <c r="AC11" s="21">
        <f>'Inputs'!$E$11*'Inputs'!$E$48*(IF(AC$5&lt;'Inputs'!$E$57,0,IF(AC$5&lt;='Inputs'!$E$58,'Inputs'!$E$10,IF(AC$5&gt;='Inputs'!$E$59,'Inputs'!$E$9,0))))</f>
        <v>7200.0</v>
      </c>
      <c r="AD11" s="21">
        <f>'Inputs'!$E$11*'Inputs'!$E$48*(IF(AD$5&lt;'Inputs'!$E$57,0,IF(AD$5&lt;='Inputs'!$E$58,'Inputs'!$E$10,IF(AD$5&gt;='Inputs'!$E$59,'Inputs'!$E$9,0))))</f>
        <v>7200.0</v>
      </c>
      <c r="AE11" s="21">
        <f>'Inputs'!$E$11*'Inputs'!$E$48*(IF(AE$5&lt;'Inputs'!$E$57,0,IF(AE$5&lt;='Inputs'!$E$58,'Inputs'!$E$10,IF(AE$5&gt;='Inputs'!$E$59,'Inputs'!$E$9,0))))</f>
        <v>7200.0</v>
      </c>
      <c r="AF11" s="21">
        <f>'Inputs'!$E$11*'Inputs'!$E$48*(IF(AF$5&lt;'Inputs'!$E$57,0,IF(AF$5&lt;='Inputs'!$E$58,'Inputs'!$E$10,IF(AF$5&gt;='Inputs'!$E$59,'Inputs'!$E$9,0))))</f>
        <v>7200.0</v>
      </c>
      <c r="AG11" s="21">
        <f>'Inputs'!$E$11*'Inputs'!$E$48*(IF(AG$5&lt;'Inputs'!$E$57,0,IF(AG$5&lt;='Inputs'!$E$58,'Inputs'!$E$10,IF(AG$5&gt;='Inputs'!$E$59,'Inputs'!$E$9,0))))</f>
        <v>7200.0</v>
      </c>
      <c r="AH11" s="21">
        <f>'Inputs'!$E$11*'Inputs'!$E$48*(IF(AH$5&lt;'Inputs'!$E$57,0,IF(AH$5&lt;='Inputs'!$E$58,'Inputs'!$E$10,IF(AH$5&gt;='Inputs'!$E$59,'Inputs'!$E$9,0))))</f>
        <v>7200.0</v>
      </c>
      <c r="AI11" s="21">
        <f>'Inputs'!$E$11*'Inputs'!$E$48*(IF(AI$5&lt;'Inputs'!$E$57,0,IF(AI$5&lt;='Inputs'!$E$58,'Inputs'!$E$10,IF(AI$5&gt;='Inputs'!$E$59,'Inputs'!$E$9,0))))</f>
        <v>7200.0</v>
      </c>
      <c r="AJ11" s="21">
        <f>'Inputs'!$E$11*'Inputs'!$E$48*(IF(AJ$5&lt;'Inputs'!$E$57,0,IF(AJ$5&lt;='Inputs'!$E$58,'Inputs'!$E$10,IF(AJ$5&gt;='Inputs'!$E$59,'Inputs'!$E$9,0))))</f>
        <v>7200.0</v>
      </c>
      <c r="AK11" s="21">
        <f>'Inputs'!$E$11*'Inputs'!$E$48*(IF(AK$5&lt;'Inputs'!$E$57,0,IF(AK$5&lt;='Inputs'!$E$58,'Inputs'!$E$10,IF(AK$5&gt;='Inputs'!$E$59,'Inputs'!$E$9,0))))</f>
        <v>7200.0</v>
      </c>
      <c r="AL11" s="21">
        <f>'Inputs'!$E$11*'Inputs'!$E$48*(IF(AL$5&lt;'Inputs'!$E$57,0,IF(AL$5&lt;='Inputs'!$E$58,'Inputs'!$E$10,IF(AL$5&gt;='Inputs'!$E$59,'Inputs'!$E$9,0))))</f>
        <v>7200.0</v>
      </c>
      <c r="AM11" s="21">
        <f>'Inputs'!$E$11*'Inputs'!$E$48*(IF(AM$5&lt;'Inputs'!$E$57,0,IF(AM$5&lt;='Inputs'!$E$58,'Inputs'!$E$10,IF(AM$5&gt;='Inputs'!$E$59,'Inputs'!$E$9,0))))</f>
        <v>7200.0</v>
      </c>
      <c r="AN11" s="21">
        <f>'Inputs'!$E$11*'Inputs'!$E$48*(IF(AN$5&lt;'Inputs'!$E$57,0,IF(AN$5&lt;='Inputs'!$E$58,'Inputs'!$E$10,IF(AN$5&gt;='Inputs'!$E$59,'Inputs'!$E$9,0))))</f>
        <v>7200.0</v>
      </c>
      <c r="AO11" s="21">
        <f>'Inputs'!$E$11*'Inputs'!$E$48*(IF(AO$5&lt;'Inputs'!$E$57,0,IF(AO$5&lt;='Inputs'!$E$58,'Inputs'!$E$10,IF(AO$5&gt;='Inputs'!$E$59,'Inputs'!$E$9,0))))</f>
        <v>7200.0</v>
      </c>
      <c r="AP11" s="21">
        <f>'Inputs'!$E$11*'Inputs'!$E$48*(IF(AP$5&lt;'Inputs'!$E$57,0,IF(AP$5&lt;='Inputs'!$E$58,'Inputs'!$E$10,IF(AP$5&gt;='Inputs'!$E$59,'Inputs'!$E$9,0))))</f>
        <v>7200.0</v>
      </c>
      <c r="AQ11" s="21">
        <f>'Inputs'!$E$11*'Inputs'!$E$48*(IF(AQ$5&lt;'Inputs'!$E$57,0,IF(AQ$5&lt;='Inputs'!$E$58,'Inputs'!$E$10,IF(AQ$5&gt;='Inputs'!$E$59,'Inputs'!$E$9,0))))</f>
        <v>7200.0</v>
      </c>
      <c r="AR11" s="21">
        <f>'Inputs'!$E$11*'Inputs'!$E$48*(IF(AR$5&lt;'Inputs'!$E$57,0,IF(AR$5&lt;='Inputs'!$E$58,'Inputs'!$E$10,IF(AR$5&gt;='Inputs'!$E$59,'Inputs'!$E$9,0))))</f>
        <v>7200.0</v>
      </c>
      <c r="AS11" s="21">
        <f>'Inputs'!$E$11*'Inputs'!$E$48*(IF(AS$5&lt;'Inputs'!$E$57,0,IF(AS$5&lt;='Inputs'!$E$58,'Inputs'!$E$10,IF(AS$5&gt;='Inputs'!$E$59,'Inputs'!$E$9,0))))</f>
        <v>7200.0</v>
      </c>
      <c r="AT11" s="21">
        <f>'Inputs'!$E$11*'Inputs'!$E$48*(IF(AT$5&lt;'Inputs'!$E$57,0,IF(AT$5&lt;='Inputs'!$E$58,'Inputs'!$E$10,IF(AT$5&gt;='Inputs'!$E$59,'Inputs'!$E$9,0))))</f>
        <v>7200.0</v>
      </c>
      <c r="AU11" s="21">
        <f>'Inputs'!$E$11*'Inputs'!$E$48*(IF(AU$5&lt;'Inputs'!$E$57,0,IF(AU$5&lt;='Inputs'!$E$58,'Inputs'!$E$10,IF(AU$5&gt;='Inputs'!$E$59,'Inputs'!$E$9,0))))</f>
        <v>7200.0</v>
      </c>
    </row>
    <row r="12" spans="1:48">
      <c r="A12" s="5" t="s">
        <v>208</v>
      </c>
      <c r="B12" s="12" t="s">
        <v>49</v>
      </c>
      <c r="C12" s="14" t="s">
        <v>209</v>
      </c>
      <c r="D12" s="21">
        <f>'Inputs'!$E$13*'Inputs'!$E$14*(IF(D$5&lt;'Inputs'!$E$57,0,IF(D$5&lt;='Inputs'!$E$58,'Inputs'!$E$10,IF(D$5&gt;='Inputs'!$E$59,'Inputs'!$E$9,0))))</f>
        <v>3150.0</v>
      </c>
      <c r="E12" s="21">
        <f>'Inputs'!$E$13*'Inputs'!$E$14*(IF(E$5&lt;'Inputs'!$E$57,0,IF(E$5&lt;='Inputs'!$E$58,'Inputs'!$E$10,IF(E$5&gt;='Inputs'!$E$59,'Inputs'!$E$9,0))))</f>
        <v>3150.0</v>
      </c>
      <c r="F12" s="21">
        <f>'Inputs'!$E$13*'Inputs'!$E$14*(IF(F$5&lt;'Inputs'!$E$57,0,IF(F$5&lt;='Inputs'!$E$58,'Inputs'!$E$10,IF(F$5&gt;='Inputs'!$E$59,'Inputs'!$E$9,0))))</f>
        <v>3150.0</v>
      </c>
      <c r="G12" s="21">
        <f>'Inputs'!$E$13*'Inputs'!$E$14*(IF(G$5&lt;'Inputs'!$E$57,0,IF(G$5&lt;='Inputs'!$E$58,'Inputs'!$E$10,IF(G$5&gt;='Inputs'!$E$59,'Inputs'!$E$9,0))))</f>
        <v>4200.0</v>
      </c>
      <c r="H12" s="21">
        <f>'Inputs'!$E$13*'Inputs'!$E$14*(IF(H$5&lt;'Inputs'!$E$57,0,IF(H$5&lt;='Inputs'!$E$58,'Inputs'!$E$10,IF(H$5&gt;='Inputs'!$E$59,'Inputs'!$E$9,0))))</f>
        <v>4200.0</v>
      </c>
      <c r="I12" s="21">
        <f>'Inputs'!$E$13*'Inputs'!$E$14*(IF(I$5&lt;'Inputs'!$E$57,0,IF(I$5&lt;='Inputs'!$E$58,'Inputs'!$E$10,IF(I$5&gt;='Inputs'!$E$59,'Inputs'!$E$9,0))))</f>
        <v>4200.0</v>
      </c>
      <c r="J12" s="21">
        <f>'Inputs'!$E$13*'Inputs'!$E$14*(IF(J$5&lt;'Inputs'!$E$57,0,IF(J$5&lt;='Inputs'!$E$58,'Inputs'!$E$10,IF(J$5&gt;='Inputs'!$E$59,'Inputs'!$E$9,0))))</f>
        <v>4200.0</v>
      </c>
      <c r="K12" s="21">
        <f>'Inputs'!$E$13*'Inputs'!$E$14*(IF(K$5&lt;'Inputs'!$E$57,0,IF(K$5&lt;='Inputs'!$E$58,'Inputs'!$E$10,IF(K$5&gt;='Inputs'!$E$59,'Inputs'!$E$9,0))))</f>
        <v>4200.0</v>
      </c>
      <c r="L12" s="21">
        <f>'Inputs'!$E$13*'Inputs'!$E$14*(IF(L$5&lt;'Inputs'!$E$57,0,IF(L$5&lt;='Inputs'!$E$58,'Inputs'!$E$10,IF(L$5&gt;='Inputs'!$E$59,'Inputs'!$E$9,0))))</f>
        <v>4200.0</v>
      </c>
      <c r="M12" s="21">
        <f>'Inputs'!$E$13*'Inputs'!$E$14*(IF(M$5&lt;'Inputs'!$E$57,0,IF(M$5&lt;='Inputs'!$E$58,'Inputs'!$E$10,IF(M$5&gt;='Inputs'!$E$59,'Inputs'!$E$9,0))))</f>
        <v>4200.0</v>
      </c>
      <c r="N12" s="21">
        <f>'Inputs'!$E$13*'Inputs'!$E$14*(IF(N$5&lt;'Inputs'!$E$57,0,IF(N$5&lt;='Inputs'!$E$58,'Inputs'!$E$10,IF(N$5&gt;='Inputs'!$E$59,'Inputs'!$E$9,0))))</f>
        <v>4200.0</v>
      </c>
      <c r="O12" s="21">
        <f>'Inputs'!$E$13*'Inputs'!$E$14*(IF(O$5&lt;'Inputs'!$E$57,0,IF(O$5&lt;='Inputs'!$E$58,'Inputs'!$E$10,IF(O$5&gt;='Inputs'!$E$59,'Inputs'!$E$9,0))))</f>
        <v>4200.0</v>
      </c>
      <c r="P12" s="21">
        <f>'Inputs'!$E$13*'Inputs'!$E$14*(IF(P$5&lt;'Inputs'!$E$57,0,IF(P$5&lt;='Inputs'!$E$58,'Inputs'!$E$10,IF(P$5&gt;='Inputs'!$E$59,'Inputs'!$E$9,0))))</f>
        <v>4200.0</v>
      </c>
      <c r="Q12" s="21">
        <f>'Inputs'!$E$13*'Inputs'!$E$14*(IF(Q$5&lt;'Inputs'!$E$57,0,IF(Q$5&lt;='Inputs'!$E$58,'Inputs'!$E$10,IF(Q$5&gt;='Inputs'!$E$59,'Inputs'!$E$9,0))))</f>
        <v>4200.0</v>
      </c>
      <c r="R12" s="21">
        <f>'Inputs'!$E$13*'Inputs'!$E$14*(IF(R$5&lt;'Inputs'!$E$57,0,IF(R$5&lt;='Inputs'!$E$58,'Inputs'!$E$10,IF(R$5&gt;='Inputs'!$E$59,'Inputs'!$E$9,0))))</f>
        <v>4200.0</v>
      </c>
      <c r="S12" s="21">
        <f>'Inputs'!$E$13*'Inputs'!$E$14*(IF(S$5&lt;'Inputs'!$E$57,0,IF(S$5&lt;='Inputs'!$E$58,'Inputs'!$E$10,IF(S$5&gt;='Inputs'!$E$59,'Inputs'!$E$9,0))))</f>
        <v>4200.0</v>
      </c>
      <c r="T12" s="21">
        <f>'Inputs'!$E$13*'Inputs'!$E$14*(IF(T$5&lt;'Inputs'!$E$57,0,IF(T$5&lt;='Inputs'!$E$58,'Inputs'!$E$10,IF(T$5&gt;='Inputs'!$E$59,'Inputs'!$E$9,0))))</f>
        <v>4200.0</v>
      </c>
      <c r="U12" s="21">
        <f>'Inputs'!$E$13*'Inputs'!$E$14*(IF(U$5&lt;'Inputs'!$E$57,0,IF(U$5&lt;='Inputs'!$E$58,'Inputs'!$E$10,IF(U$5&gt;='Inputs'!$E$59,'Inputs'!$E$9,0))))</f>
        <v>4200.0</v>
      </c>
      <c r="V12" s="21">
        <f>'Inputs'!$E$13*'Inputs'!$E$14*(IF(V$5&lt;'Inputs'!$E$57,0,IF(V$5&lt;='Inputs'!$E$58,'Inputs'!$E$10,IF(V$5&gt;='Inputs'!$E$59,'Inputs'!$E$9,0))))</f>
        <v>4200.0</v>
      </c>
      <c r="W12" s="21">
        <f>'Inputs'!$E$13*'Inputs'!$E$14*(IF(W$5&lt;'Inputs'!$E$57,0,IF(W$5&lt;='Inputs'!$E$58,'Inputs'!$E$10,IF(W$5&gt;='Inputs'!$E$59,'Inputs'!$E$9,0))))</f>
        <v>4200.0</v>
      </c>
      <c r="X12" s="21">
        <f>'Inputs'!$E$13*'Inputs'!$E$14*(IF(X$5&lt;'Inputs'!$E$57,0,IF(X$5&lt;='Inputs'!$E$58,'Inputs'!$E$10,IF(X$5&gt;='Inputs'!$E$59,'Inputs'!$E$9,0))))</f>
        <v>4200.0</v>
      </c>
      <c r="Y12" s="21">
        <f>'Inputs'!$E$13*'Inputs'!$E$14*(IF(Y$5&lt;'Inputs'!$E$57,0,IF(Y$5&lt;='Inputs'!$E$58,'Inputs'!$E$10,IF(Y$5&gt;='Inputs'!$E$59,'Inputs'!$E$9,0))))</f>
        <v>4200.0</v>
      </c>
      <c r="Z12" s="21">
        <f>'Inputs'!$E$13*'Inputs'!$E$14*(IF(Z$5&lt;'Inputs'!$E$57,0,IF(Z$5&lt;='Inputs'!$E$58,'Inputs'!$E$10,IF(Z$5&gt;='Inputs'!$E$59,'Inputs'!$E$9,0))))</f>
        <v>4200.0</v>
      </c>
      <c r="AA12" s="21">
        <f>'Inputs'!$E$13*'Inputs'!$E$14*(IF(AA$5&lt;'Inputs'!$E$57,0,IF(AA$5&lt;='Inputs'!$E$58,'Inputs'!$E$10,IF(AA$5&gt;='Inputs'!$E$59,'Inputs'!$E$9,0))))</f>
        <v>4200.0</v>
      </c>
      <c r="AB12" s="21">
        <f>'Inputs'!$E$13*'Inputs'!$E$14*(IF(AB$5&lt;'Inputs'!$E$57,0,IF(AB$5&lt;='Inputs'!$E$58,'Inputs'!$E$10,IF(AB$5&gt;='Inputs'!$E$59,'Inputs'!$E$9,0))))</f>
        <v>4200.0</v>
      </c>
      <c r="AC12" s="21">
        <f>'Inputs'!$E$13*'Inputs'!$E$14*(IF(AC$5&lt;'Inputs'!$E$57,0,IF(AC$5&lt;='Inputs'!$E$58,'Inputs'!$E$10,IF(AC$5&gt;='Inputs'!$E$59,'Inputs'!$E$9,0))))</f>
        <v>4200.0</v>
      </c>
      <c r="AD12" s="21">
        <f>'Inputs'!$E$13*'Inputs'!$E$14*(IF(AD$5&lt;'Inputs'!$E$57,0,IF(AD$5&lt;='Inputs'!$E$58,'Inputs'!$E$10,IF(AD$5&gt;='Inputs'!$E$59,'Inputs'!$E$9,0))))</f>
        <v>4200.0</v>
      </c>
      <c r="AE12" s="21">
        <f>'Inputs'!$E$13*'Inputs'!$E$14*(IF(AE$5&lt;'Inputs'!$E$57,0,IF(AE$5&lt;='Inputs'!$E$58,'Inputs'!$E$10,IF(AE$5&gt;='Inputs'!$E$59,'Inputs'!$E$9,0))))</f>
        <v>4200.0</v>
      </c>
      <c r="AF12" s="21">
        <f>'Inputs'!$E$13*'Inputs'!$E$14*(IF(AF$5&lt;'Inputs'!$E$57,0,IF(AF$5&lt;='Inputs'!$E$58,'Inputs'!$E$10,IF(AF$5&gt;='Inputs'!$E$59,'Inputs'!$E$9,0))))</f>
        <v>4200.0</v>
      </c>
      <c r="AG12" s="21">
        <f>'Inputs'!$E$13*'Inputs'!$E$14*(IF(AG$5&lt;'Inputs'!$E$57,0,IF(AG$5&lt;='Inputs'!$E$58,'Inputs'!$E$10,IF(AG$5&gt;='Inputs'!$E$59,'Inputs'!$E$9,0))))</f>
        <v>4200.0</v>
      </c>
      <c r="AH12" s="21">
        <f>'Inputs'!$E$13*'Inputs'!$E$14*(IF(AH$5&lt;'Inputs'!$E$57,0,IF(AH$5&lt;='Inputs'!$E$58,'Inputs'!$E$10,IF(AH$5&gt;='Inputs'!$E$59,'Inputs'!$E$9,0))))</f>
        <v>4200.0</v>
      </c>
      <c r="AI12" s="21">
        <f>'Inputs'!$E$13*'Inputs'!$E$14*(IF(AI$5&lt;'Inputs'!$E$57,0,IF(AI$5&lt;='Inputs'!$E$58,'Inputs'!$E$10,IF(AI$5&gt;='Inputs'!$E$59,'Inputs'!$E$9,0))))</f>
        <v>4200.0</v>
      </c>
      <c r="AJ12" s="21">
        <f>'Inputs'!$E$13*'Inputs'!$E$14*(IF(AJ$5&lt;'Inputs'!$E$57,0,IF(AJ$5&lt;='Inputs'!$E$58,'Inputs'!$E$10,IF(AJ$5&gt;='Inputs'!$E$59,'Inputs'!$E$9,0))))</f>
        <v>4200.0</v>
      </c>
      <c r="AK12" s="21">
        <f>'Inputs'!$E$13*'Inputs'!$E$14*(IF(AK$5&lt;'Inputs'!$E$57,0,IF(AK$5&lt;='Inputs'!$E$58,'Inputs'!$E$10,IF(AK$5&gt;='Inputs'!$E$59,'Inputs'!$E$9,0))))</f>
        <v>4200.0</v>
      </c>
      <c r="AL12" s="21">
        <f>'Inputs'!$E$13*'Inputs'!$E$14*(IF(AL$5&lt;'Inputs'!$E$57,0,IF(AL$5&lt;='Inputs'!$E$58,'Inputs'!$E$10,IF(AL$5&gt;='Inputs'!$E$59,'Inputs'!$E$9,0))))</f>
        <v>4200.0</v>
      </c>
      <c r="AM12" s="21">
        <f>'Inputs'!$E$13*'Inputs'!$E$14*(IF(AM$5&lt;'Inputs'!$E$57,0,IF(AM$5&lt;='Inputs'!$E$58,'Inputs'!$E$10,IF(AM$5&gt;='Inputs'!$E$59,'Inputs'!$E$9,0))))</f>
        <v>4200.0</v>
      </c>
      <c r="AN12" s="21">
        <f>'Inputs'!$E$13*'Inputs'!$E$14*(IF(AN$5&lt;'Inputs'!$E$57,0,IF(AN$5&lt;='Inputs'!$E$58,'Inputs'!$E$10,IF(AN$5&gt;='Inputs'!$E$59,'Inputs'!$E$9,0))))</f>
        <v>4200.0</v>
      </c>
      <c r="AO12" s="21">
        <f>'Inputs'!$E$13*'Inputs'!$E$14*(IF(AO$5&lt;'Inputs'!$E$57,0,IF(AO$5&lt;='Inputs'!$E$58,'Inputs'!$E$10,IF(AO$5&gt;='Inputs'!$E$59,'Inputs'!$E$9,0))))</f>
        <v>4200.0</v>
      </c>
      <c r="AP12" s="21">
        <f>'Inputs'!$E$13*'Inputs'!$E$14*(IF(AP$5&lt;'Inputs'!$E$57,0,IF(AP$5&lt;='Inputs'!$E$58,'Inputs'!$E$10,IF(AP$5&gt;='Inputs'!$E$59,'Inputs'!$E$9,0))))</f>
        <v>4200.0</v>
      </c>
      <c r="AQ12" s="21">
        <f>'Inputs'!$E$13*'Inputs'!$E$14*(IF(AQ$5&lt;'Inputs'!$E$57,0,IF(AQ$5&lt;='Inputs'!$E$58,'Inputs'!$E$10,IF(AQ$5&gt;='Inputs'!$E$59,'Inputs'!$E$9,0))))</f>
        <v>4200.0</v>
      </c>
      <c r="AR12" s="21">
        <f>'Inputs'!$E$13*'Inputs'!$E$14*(IF(AR$5&lt;'Inputs'!$E$57,0,IF(AR$5&lt;='Inputs'!$E$58,'Inputs'!$E$10,IF(AR$5&gt;='Inputs'!$E$59,'Inputs'!$E$9,0))))</f>
        <v>4200.0</v>
      </c>
      <c r="AS12" s="21">
        <f>'Inputs'!$E$13*'Inputs'!$E$14*(IF(AS$5&lt;'Inputs'!$E$57,0,IF(AS$5&lt;='Inputs'!$E$58,'Inputs'!$E$10,IF(AS$5&gt;='Inputs'!$E$59,'Inputs'!$E$9,0))))</f>
        <v>4200.0</v>
      </c>
      <c r="AT12" s="21">
        <f>'Inputs'!$E$13*'Inputs'!$E$14*(IF(AT$5&lt;'Inputs'!$E$57,0,IF(AT$5&lt;='Inputs'!$E$58,'Inputs'!$E$10,IF(AT$5&gt;='Inputs'!$E$59,'Inputs'!$E$9,0))))</f>
        <v>4200.0</v>
      </c>
      <c r="AU12" s="21">
        <f>'Inputs'!$E$13*'Inputs'!$E$14*(IF(AU$5&lt;'Inputs'!$E$57,0,IF(AU$5&lt;='Inputs'!$E$58,'Inputs'!$E$10,IF(AU$5&gt;='Inputs'!$E$59,'Inputs'!$E$9,0))))</f>
        <v>4200.0</v>
      </c>
    </row>
    <row r="13" spans="1:48">
      <c r="A13" s="5" t="s">
        <v>210</v>
      </c>
      <c r="B13" s="12" t="s">
        <v>49</v>
      </c>
      <c r="C13" s="14" t="s">
        <v>211</v>
      </c>
      <c r="D13" s="21">
        <f>'Inputs'!$E$16*'Inputs'!$E$17*(IF(D$5&lt;'Inputs'!$E$57,0,IF(D$5&lt;='Inputs'!$E$58,'Inputs'!$E$10,IF(D$5&gt;='Inputs'!$E$59,'Inputs'!$E$9,0))))</f>
        <v>1800.0</v>
      </c>
      <c r="E13" s="21">
        <f>'Inputs'!$E$16*'Inputs'!$E$17*(IF(E$5&lt;'Inputs'!$E$57,0,IF(E$5&lt;='Inputs'!$E$58,'Inputs'!$E$10,IF(E$5&gt;='Inputs'!$E$59,'Inputs'!$E$9,0))))</f>
        <v>1800.0</v>
      </c>
      <c r="F13" s="21">
        <f>'Inputs'!$E$16*'Inputs'!$E$17*(IF(F$5&lt;'Inputs'!$E$57,0,IF(F$5&lt;='Inputs'!$E$58,'Inputs'!$E$10,IF(F$5&gt;='Inputs'!$E$59,'Inputs'!$E$9,0))))</f>
        <v>1800.0</v>
      </c>
      <c r="G13" s="21">
        <f>'Inputs'!$E$16*'Inputs'!$E$17*(IF(G$5&lt;'Inputs'!$E$57,0,IF(G$5&lt;='Inputs'!$E$58,'Inputs'!$E$10,IF(G$5&gt;='Inputs'!$E$59,'Inputs'!$E$9,0))))</f>
        <v>2400.0</v>
      </c>
      <c r="H13" s="21">
        <f>'Inputs'!$E$16*'Inputs'!$E$17*(IF(H$5&lt;'Inputs'!$E$57,0,IF(H$5&lt;='Inputs'!$E$58,'Inputs'!$E$10,IF(H$5&gt;='Inputs'!$E$59,'Inputs'!$E$9,0))))</f>
        <v>2400.0</v>
      </c>
      <c r="I13" s="21">
        <f>'Inputs'!$E$16*'Inputs'!$E$17*(IF(I$5&lt;'Inputs'!$E$57,0,IF(I$5&lt;='Inputs'!$E$58,'Inputs'!$E$10,IF(I$5&gt;='Inputs'!$E$59,'Inputs'!$E$9,0))))</f>
        <v>2400.0</v>
      </c>
      <c r="J13" s="21">
        <f>'Inputs'!$E$16*'Inputs'!$E$17*(IF(J$5&lt;'Inputs'!$E$57,0,IF(J$5&lt;='Inputs'!$E$58,'Inputs'!$E$10,IF(J$5&gt;='Inputs'!$E$59,'Inputs'!$E$9,0))))</f>
        <v>2400.0</v>
      </c>
      <c r="K13" s="21">
        <f>'Inputs'!$E$16*'Inputs'!$E$17*(IF(K$5&lt;'Inputs'!$E$57,0,IF(K$5&lt;='Inputs'!$E$58,'Inputs'!$E$10,IF(K$5&gt;='Inputs'!$E$59,'Inputs'!$E$9,0))))</f>
        <v>2400.0</v>
      </c>
      <c r="L13" s="21">
        <f>'Inputs'!$E$16*'Inputs'!$E$17*(IF(L$5&lt;'Inputs'!$E$57,0,IF(L$5&lt;='Inputs'!$E$58,'Inputs'!$E$10,IF(L$5&gt;='Inputs'!$E$59,'Inputs'!$E$9,0))))</f>
        <v>2400.0</v>
      </c>
      <c r="M13" s="21">
        <f>'Inputs'!$E$16*'Inputs'!$E$17*(IF(M$5&lt;'Inputs'!$E$57,0,IF(M$5&lt;='Inputs'!$E$58,'Inputs'!$E$10,IF(M$5&gt;='Inputs'!$E$59,'Inputs'!$E$9,0))))</f>
        <v>2400.0</v>
      </c>
      <c r="N13" s="21">
        <f>'Inputs'!$E$16*'Inputs'!$E$17*(IF(N$5&lt;'Inputs'!$E$57,0,IF(N$5&lt;='Inputs'!$E$58,'Inputs'!$E$10,IF(N$5&gt;='Inputs'!$E$59,'Inputs'!$E$9,0))))</f>
        <v>2400.0</v>
      </c>
      <c r="O13" s="21">
        <f>'Inputs'!$E$16*'Inputs'!$E$17*(IF(O$5&lt;'Inputs'!$E$57,0,IF(O$5&lt;='Inputs'!$E$58,'Inputs'!$E$10,IF(O$5&gt;='Inputs'!$E$59,'Inputs'!$E$9,0))))</f>
        <v>2400.0</v>
      </c>
      <c r="P13" s="21">
        <f>'Inputs'!$E$16*'Inputs'!$E$17*(IF(P$5&lt;'Inputs'!$E$57,0,IF(P$5&lt;='Inputs'!$E$58,'Inputs'!$E$10,IF(P$5&gt;='Inputs'!$E$59,'Inputs'!$E$9,0))))</f>
        <v>2400.0</v>
      </c>
      <c r="Q13" s="21">
        <f>'Inputs'!$E$16*'Inputs'!$E$17*(IF(Q$5&lt;'Inputs'!$E$57,0,IF(Q$5&lt;='Inputs'!$E$58,'Inputs'!$E$10,IF(Q$5&gt;='Inputs'!$E$59,'Inputs'!$E$9,0))))</f>
        <v>2400.0</v>
      </c>
      <c r="R13" s="21">
        <f>'Inputs'!$E$16*'Inputs'!$E$17*(IF(R$5&lt;'Inputs'!$E$57,0,IF(R$5&lt;='Inputs'!$E$58,'Inputs'!$E$10,IF(R$5&gt;='Inputs'!$E$59,'Inputs'!$E$9,0))))</f>
        <v>2400.0</v>
      </c>
      <c r="S13" s="21">
        <f>'Inputs'!$E$16*'Inputs'!$E$17*(IF(S$5&lt;'Inputs'!$E$57,0,IF(S$5&lt;='Inputs'!$E$58,'Inputs'!$E$10,IF(S$5&gt;='Inputs'!$E$59,'Inputs'!$E$9,0))))</f>
        <v>2400.0</v>
      </c>
      <c r="T13" s="21">
        <f>'Inputs'!$E$16*'Inputs'!$E$17*(IF(T$5&lt;'Inputs'!$E$57,0,IF(T$5&lt;='Inputs'!$E$58,'Inputs'!$E$10,IF(T$5&gt;='Inputs'!$E$59,'Inputs'!$E$9,0))))</f>
        <v>2400.0</v>
      </c>
      <c r="U13" s="21">
        <f>'Inputs'!$E$16*'Inputs'!$E$17*(IF(U$5&lt;'Inputs'!$E$57,0,IF(U$5&lt;='Inputs'!$E$58,'Inputs'!$E$10,IF(U$5&gt;='Inputs'!$E$59,'Inputs'!$E$9,0))))</f>
        <v>2400.0</v>
      </c>
      <c r="V13" s="21">
        <f>'Inputs'!$E$16*'Inputs'!$E$17*(IF(V$5&lt;'Inputs'!$E$57,0,IF(V$5&lt;='Inputs'!$E$58,'Inputs'!$E$10,IF(V$5&gt;='Inputs'!$E$59,'Inputs'!$E$9,0))))</f>
        <v>2400.0</v>
      </c>
      <c r="W13" s="21">
        <f>'Inputs'!$E$16*'Inputs'!$E$17*(IF(W$5&lt;'Inputs'!$E$57,0,IF(W$5&lt;='Inputs'!$E$58,'Inputs'!$E$10,IF(W$5&gt;='Inputs'!$E$59,'Inputs'!$E$9,0))))</f>
        <v>2400.0</v>
      </c>
      <c r="X13" s="21">
        <f>'Inputs'!$E$16*'Inputs'!$E$17*(IF(X$5&lt;'Inputs'!$E$57,0,IF(X$5&lt;='Inputs'!$E$58,'Inputs'!$E$10,IF(X$5&gt;='Inputs'!$E$59,'Inputs'!$E$9,0))))</f>
        <v>2400.0</v>
      </c>
      <c r="Y13" s="21">
        <f>'Inputs'!$E$16*'Inputs'!$E$17*(IF(Y$5&lt;'Inputs'!$E$57,0,IF(Y$5&lt;='Inputs'!$E$58,'Inputs'!$E$10,IF(Y$5&gt;='Inputs'!$E$59,'Inputs'!$E$9,0))))</f>
        <v>2400.0</v>
      </c>
      <c r="Z13" s="21">
        <f>'Inputs'!$E$16*'Inputs'!$E$17*(IF(Z$5&lt;'Inputs'!$E$57,0,IF(Z$5&lt;='Inputs'!$E$58,'Inputs'!$E$10,IF(Z$5&gt;='Inputs'!$E$59,'Inputs'!$E$9,0))))</f>
        <v>2400.0</v>
      </c>
      <c r="AA13" s="21">
        <f>'Inputs'!$E$16*'Inputs'!$E$17*(IF(AA$5&lt;'Inputs'!$E$57,0,IF(AA$5&lt;='Inputs'!$E$58,'Inputs'!$E$10,IF(AA$5&gt;='Inputs'!$E$59,'Inputs'!$E$9,0))))</f>
        <v>2400.0</v>
      </c>
      <c r="AB13" s="21">
        <f>'Inputs'!$E$16*'Inputs'!$E$17*(IF(AB$5&lt;'Inputs'!$E$57,0,IF(AB$5&lt;='Inputs'!$E$58,'Inputs'!$E$10,IF(AB$5&gt;='Inputs'!$E$59,'Inputs'!$E$9,0))))</f>
        <v>2400.0</v>
      </c>
      <c r="AC13" s="21">
        <f>'Inputs'!$E$16*'Inputs'!$E$17*(IF(AC$5&lt;'Inputs'!$E$57,0,IF(AC$5&lt;='Inputs'!$E$58,'Inputs'!$E$10,IF(AC$5&gt;='Inputs'!$E$59,'Inputs'!$E$9,0))))</f>
        <v>2400.0</v>
      </c>
      <c r="AD13" s="21">
        <f>'Inputs'!$E$16*'Inputs'!$E$17*(IF(AD$5&lt;'Inputs'!$E$57,0,IF(AD$5&lt;='Inputs'!$E$58,'Inputs'!$E$10,IF(AD$5&gt;='Inputs'!$E$59,'Inputs'!$E$9,0))))</f>
        <v>2400.0</v>
      </c>
      <c r="AE13" s="21">
        <f>'Inputs'!$E$16*'Inputs'!$E$17*(IF(AE$5&lt;'Inputs'!$E$57,0,IF(AE$5&lt;='Inputs'!$E$58,'Inputs'!$E$10,IF(AE$5&gt;='Inputs'!$E$59,'Inputs'!$E$9,0))))</f>
        <v>2400.0</v>
      </c>
      <c r="AF13" s="21">
        <f>'Inputs'!$E$16*'Inputs'!$E$17*(IF(AF$5&lt;'Inputs'!$E$57,0,IF(AF$5&lt;='Inputs'!$E$58,'Inputs'!$E$10,IF(AF$5&gt;='Inputs'!$E$59,'Inputs'!$E$9,0))))</f>
        <v>2400.0</v>
      </c>
      <c r="AG13" s="21">
        <f>'Inputs'!$E$16*'Inputs'!$E$17*(IF(AG$5&lt;'Inputs'!$E$57,0,IF(AG$5&lt;='Inputs'!$E$58,'Inputs'!$E$10,IF(AG$5&gt;='Inputs'!$E$59,'Inputs'!$E$9,0))))</f>
        <v>2400.0</v>
      </c>
      <c r="AH13" s="21">
        <f>'Inputs'!$E$16*'Inputs'!$E$17*(IF(AH$5&lt;'Inputs'!$E$57,0,IF(AH$5&lt;='Inputs'!$E$58,'Inputs'!$E$10,IF(AH$5&gt;='Inputs'!$E$59,'Inputs'!$E$9,0))))</f>
        <v>2400.0</v>
      </c>
      <c r="AI13" s="21">
        <f>'Inputs'!$E$16*'Inputs'!$E$17*(IF(AI$5&lt;'Inputs'!$E$57,0,IF(AI$5&lt;='Inputs'!$E$58,'Inputs'!$E$10,IF(AI$5&gt;='Inputs'!$E$59,'Inputs'!$E$9,0))))</f>
        <v>2400.0</v>
      </c>
      <c r="AJ13" s="21">
        <f>'Inputs'!$E$16*'Inputs'!$E$17*(IF(AJ$5&lt;'Inputs'!$E$57,0,IF(AJ$5&lt;='Inputs'!$E$58,'Inputs'!$E$10,IF(AJ$5&gt;='Inputs'!$E$59,'Inputs'!$E$9,0))))</f>
        <v>2400.0</v>
      </c>
      <c r="AK13" s="21">
        <f>'Inputs'!$E$16*'Inputs'!$E$17*(IF(AK$5&lt;'Inputs'!$E$57,0,IF(AK$5&lt;='Inputs'!$E$58,'Inputs'!$E$10,IF(AK$5&gt;='Inputs'!$E$59,'Inputs'!$E$9,0))))</f>
        <v>2400.0</v>
      </c>
      <c r="AL13" s="21">
        <f>'Inputs'!$E$16*'Inputs'!$E$17*(IF(AL$5&lt;'Inputs'!$E$57,0,IF(AL$5&lt;='Inputs'!$E$58,'Inputs'!$E$10,IF(AL$5&gt;='Inputs'!$E$59,'Inputs'!$E$9,0))))</f>
        <v>2400.0</v>
      </c>
      <c r="AM13" s="21">
        <f>'Inputs'!$E$16*'Inputs'!$E$17*(IF(AM$5&lt;'Inputs'!$E$57,0,IF(AM$5&lt;='Inputs'!$E$58,'Inputs'!$E$10,IF(AM$5&gt;='Inputs'!$E$59,'Inputs'!$E$9,0))))</f>
        <v>2400.0</v>
      </c>
      <c r="AN13" s="21">
        <f>'Inputs'!$E$16*'Inputs'!$E$17*(IF(AN$5&lt;'Inputs'!$E$57,0,IF(AN$5&lt;='Inputs'!$E$58,'Inputs'!$E$10,IF(AN$5&gt;='Inputs'!$E$59,'Inputs'!$E$9,0))))</f>
        <v>2400.0</v>
      </c>
      <c r="AO13" s="21">
        <f>'Inputs'!$E$16*'Inputs'!$E$17*(IF(AO$5&lt;'Inputs'!$E$57,0,IF(AO$5&lt;='Inputs'!$E$58,'Inputs'!$E$10,IF(AO$5&gt;='Inputs'!$E$59,'Inputs'!$E$9,0))))</f>
        <v>2400.0</v>
      </c>
      <c r="AP13" s="21">
        <f>'Inputs'!$E$16*'Inputs'!$E$17*(IF(AP$5&lt;'Inputs'!$E$57,0,IF(AP$5&lt;='Inputs'!$E$58,'Inputs'!$E$10,IF(AP$5&gt;='Inputs'!$E$59,'Inputs'!$E$9,0))))</f>
        <v>2400.0</v>
      </c>
      <c r="AQ13" s="21">
        <f>'Inputs'!$E$16*'Inputs'!$E$17*(IF(AQ$5&lt;'Inputs'!$E$57,0,IF(AQ$5&lt;='Inputs'!$E$58,'Inputs'!$E$10,IF(AQ$5&gt;='Inputs'!$E$59,'Inputs'!$E$9,0))))</f>
        <v>2400.0</v>
      </c>
      <c r="AR13" s="21">
        <f>'Inputs'!$E$16*'Inputs'!$E$17*(IF(AR$5&lt;'Inputs'!$E$57,0,IF(AR$5&lt;='Inputs'!$E$58,'Inputs'!$E$10,IF(AR$5&gt;='Inputs'!$E$59,'Inputs'!$E$9,0))))</f>
        <v>2400.0</v>
      </c>
      <c r="AS13" s="21">
        <f>'Inputs'!$E$16*'Inputs'!$E$17*(IF(AS$5&lt;'Inputs'!$E$57,0,IF(AS$5&lt;='Inputs'!$E$58,'Inputs'!$E$10,IF(AS$5&gt;='Inputs'!$E$59,'Inputs'!$E$9,0))))</f>
        <v>2400.0</v>
      </c>
      <c r="AT13" s="21">
        <f>'Inputs'!$E$16*'Inputs'!$E$17*(IF(AT$5&lt;'Inputs'!$E$57,0,IF(AT$5&lt;='Inputs'!$E$58,'Inputs'!$E$10,IF(AT$5&gt;='Inputs'!$E$59,'Inputs'!$E$9,0))))</f>
        <v>2400.0</v>
      </c>
      <c r="AU13" s="21">
        <f>'Inputs'!$E$16*'Inputs'!$E$17*(IF(AU$5&lt;'Inputs'!$E$57,0,IF(AU$5&lt;='Inputs'!$E$58,'Inputs'!$E$10,IF(AU$5&gt;='Inputs'!$E$59,'Inputs'!$E$9,0))))</f>
        <v>2400.0</v>
      </c>
    </row>
    <row r="14" spans="1:48">
      <c r="A14" s="19" t="s">
        <v>212</v>
      </c>
      <c r="B14" s="12" t="s">
        <v>49</v>
      </c>
      <c r="C14" s="14" t="s">
        <v>213</v>
      </c>
      <c r="D14" s="20">
        <f>SUM(D11:D13)</f>
        <v>10350.0</v>
      </c>
      <c r="E14" s="20">
        <f>SUM(E11:E13)</f>
        <v>10350.0</v>
      </c>
      <c r="F14" s="20">
        <f>SUM(F11:F13)</f>
        <v>10350.0</v>
      </c>
      <c r="G14" s="20">
        <f>SUM(G11:G13)</f>
        <v>13800.0</v>
      </c>
      <c r="H14" s="20">
        <f>SUM(H11:H13)</f>
        <v>13800.0</v>
      </c>
      <c r="I14" s="20">
        <f>SUM(I11:I13)</f>
        <v>13800.0</v>
      </c>
      <c r="J14" s="20">
        <f>SUM(J11:J13)</f>
        <v>13800.0</v>
      </c>
      <c r="K14" s="20">
        <f>SUM(K11:K13)</f>
        <v>13800.0</v>
      </c>
      <c r="L14" s="20">
        <f>SUM(L11:L13)</f>
        <v>13800.0</v>
      </c>
      <c r="M14" s="20">
        <f>SUM(M11:M13)</f>
        <v>13800.0</v>
      </c>
      <c r="N14" s="20">
        <f>SUM(N11:N13)</f>
        <v>13800.0</v>
      </c>
      <c r="O14" s="20">
        <f>SUM(O11:O13)</f>
        <v>13800.0</v>
      </c>
      <c r="P14" s="20">
        <f>SUM(P11:P13)</f>
        <v>13800.0</v>
      </c>
      <c r="Q14" s="20">
        <f>SUM(Q11:Q13)</f>
        <v>13800.0</v>
      </c>
      <c r="R14" s="20">
        <f>SUM(R11:R13)</f>
        <v>13800.0</v>
      </c>
      <c r="S14" s="20">
        <f>SUM(S11:S13)</f>
        <v>13800.0</v>
      </c>
      <c r="T14" s="20">
        <f>SUM(T11:T13)</f>
        <v>13800.0</v>
      </c>
      <c r="U14" s="20">
        <f>SUM(U11:U13)</f>
        <v>13800.0</v>
      </c>
      <c r="V14" s="20">
        <f>SUM(V11:V13)</f>
        <v>13800.0</v>
      </c>
      <c r="W14" s="20">
        <f>SUM(W11:W13)</f>
        <v>13800.0</v>
      </c>
      <c r="X14" s="20">
        <f>SUM(X11:X13)</f>
        <v>13800.0</v>
      </c>
      <c r="Y14" s="20">
        <f>SUM(Y11:Y13)</f>
        <v>13800.0</v>
      </c>
      <c r="Z14" s="20">
        <f>SUM(Z11:Z13)</f>
        <v>13800.0</v>
      </c>
      <c r="AA14" s="20">
        <f>SUM(AA11:AA13)</f>
        <v>13800.0</v>
      </c>
      <c r="AB14" s="20">
        <f>SUM(AB11:AB13)</f>
        <v>13800.0</v>
      </c>
      <c r="AC14" s="20">
        <f>SUM(AC11:AC13)</f>
        <v>13800.0</v>
      </c>
      <c r="AD14" s="20">
        <f>SUM(AD11:AD13)</f>
        <v>13800.0</v>
      </c>
      <c r="AE14" s="20">
        <f>SUM(AE11:AE13)</f>
        <v>13800.0</v>
      </c>
      <c r="AF14" s="20">
        <f>SUM(AF11:AF13)</f>
        <v>13800.0</v>
      </c>
      <c r="AG14" s="20">
        <f>SUM(AG11:AG13)</f>
        <v>13800.0</v>
      </c>
      <c r="AH14" s="20">
        <f>SUM(AH11:AH13)</f>
        <v>13800.0</v>
      </c>
      <c r="AI14" s="20">
        <f>SUM(AI11:AI13)</f>
        <v>13800.0</v>
      </c>
      <c r="AJ14" s="20">
        <f>SUM(AJ11:AJ13)</f>
        <v>13800.0</v>
      </c>
      <c r="AK14" s="20">
        <f>SUM(AK11:AK13)</f>
        <v>13800.0</v>
      </c>
      <c r="AL14" s="20">
        <f>SUM(AL11:AL13)</f>
        <v>13800.0</v>
      </c>
      <c r="AM14" s="20">
        <f>SUM(AM11:AM13)</f>
        <v>13800.0</v>
      </c>
      <c r="AN14" s="20">
        <f>SUM(AN11:AN13)</f>
        <v>13800.0</v>
      </c>
      <c r="AO14" s="20">
        <f>SUM(AO11:AO13)</f>
        <v>13800.0</v>
      </c>
      <c r="AP14" s="20">
        <f>SUM(AP11:AP13)</f>
        <v>13800.0</v>
      </c>
      <c r="AQ14" s="20">
        <f>SUM(AQ11:AQ13)</f>
        <v>13800.0</v>
      </c>
      <c r="AR14" s="20">
        <f>SUM(AR11:AR13)</f>
        <v>13800.0</v>
      </c>
      <c r="AS14" s="20">
        <f>SUM(AS11:AS13)</f>
        <v>13800.0</v>
      </c>
      <c r="AT14" s="20">
        <f>SUM(AT11:AT13)</f>
        <v>13800.0</v>
      </c>
      <c r="AU14" s="20">
        <f>SUM(AU11:AU13)</f>
        <v>13800.0</v>
      </c>
    </row>
    <row r="15" spans="1:48">
      <c r="A15" s="19" t="s">
        <v>214</v>
      </c>
      <c r="B15" s="12" t="s">
        <v>49</v>
      </c>
      <c r="C15" s="14" t="s">
        <v>215</v>
      </c>
      <c r="D15" s="20">
        <f>D10+D14</f>
        <v>16484.42</v>
      </c>
      <c r="E15" s="20">
        <f>E10+E14</f>
        <v>16554.7642</v>
      </c>
      <c r="F15" s="20">
        <f>F10+F14</f>
        <v>16625.946842</v>
      </c>
      <c r="G15" s="20">
        <f>G10+G14</f>
        <v>20147.97833542</v>
      </c>
      <c r="H15" s="20">
        <f>H10+H14</f>
        <v>20220.8692241492</v>
      </c>
      <c r="I15" s="20">
        <f>I10+I14</f>
        <v>31284.667517161946</v>
      </c>
      <c r="J15" s="20">
        <f>J10+J14</f>
        <v>36032.004444185</v>
      </c>
      <c r="K15" s="20">
        <f>K10+K14</f>
        <v>40757.260962004424</v>
      </c>
      <c r="L15" s="20">
        <f>L10+L14</f>
        <v>52196.88006252338</v>
      </c>
      <c r="M15" s="20">
        <f>M10+M14</f>
        <v>56164.06985384961</v>
      </c>
      <c r="N15" s="20">
        <f>N10+N14</f>
        <v>60115.78947368422</v>
      </c>
      <c r="O15" s="20">
        <f>O10+O14</f>
        <v>60115.78947368421</v>
      </c>
      <c r="P15" s="20">
        <f>P10+P14</f>
        <v>60115.78947368421</v>
      </c>
      <c r="Q15" s="20">
        <f>Q10+Q14</f>
        <v>60115.78947368421</v>
      </c>
      <c r="R15" s="20">
        <f>R10+R14</f>
        <v>60115.78947368421</v>
      </c>
      <c r="S15" s="20">
        <f>S10+S14</f>
        <v>66042.1052631579</v>
      </c>
      <c r="T15" s="20">
        <f>T10+T14</f>
        <v>66042.1052631579</v>
      </c>
      <c r="U15" s="20">
        <f>U10+U14</f>
        <v>66042.1052631579</v>
      </c>
      <c r="V15" s="20">
        <f>V10+V14</f>
        <v>66042.1052631579</v>
      </c>
      <c r="W15" s="20">
        <f>W10+W14</f>
        <v>66042.1052631579</v>
      </c>
      <c r="X15" s="20">
        <f>X10+X14</f>
        <v>66042.1052631579</v>
      </c>
      <c r="Y15" s="20">
        <f>Y10+Y14</f>
        <v>66042.1052631579</v>
      </c>
      <c r="Z15" s="20">
        <f>Z10+Z14</f>
        <v>66042.1052631579</v>
      </c>
      <c r="AA15" s="20">
        <f>AA10+AA14</f>
        <v>66042.1052631579</v>
      </c>
      <c r="AB15" s="20">
        <f>AB10+AB14</f>
        <v>66042.1052631579</v>
      </c>
      <c r="AC15" s="20">
        <f>AC10+AC14</f>
        <v>66042.1052631579</v>
      </c>
      <c r="AD15" s="20">
        <f>AD10+AD14</f>
        <v>66042.1052631579</v>
      </c>
      <c r="AE15" s="20">
        <f>AE10+AE14</f>
        <v>66042.1052631579</v>
      </c>
      <c r="AF15" s="20">
        <f>AF10+AF14</f>
        <v>66042.1052631579</v>
      </c>
      <c r="AG15" s="20">
        <f>AG10+AG14</f>
        <v>66042.1052631579</v>
      </c>
      <c r="AH15" s="20">
        <f>AH10+AH14</f>
        <v>66042.1052631579</v>
      </c>
      <c r="AI15" s="20">
        <f>AI10+AI14</f>
        <v>66042.1052631579</v>
      </c>
      <c r="AJ15" s="20">
        <f>AJ10+AJ14</f>
        <v>66042.1052631579</v>
      </c>
      <c r="AK15" s="20">
        <f>AK10+AK14</f>
        <v>66042.1052631579</v>
      </c>
      <c r="AL15" s="20">
        <f>AL10+AL14</f>
        <v>66042.1052631579</v>
      </c>
      <c r="AM15" s="20">
        <f>AM10+AM14</f>
        <v>66042.1052631579</v>
      </c>
      <c r="AN15" s="20">
        <f>AN10+AN14</f>
        <v>66042.1052631579</v>
      </c>
      <c r="AO15" s="20">
        <f>AO10+AO14</f>
        <v>66042.1052631579</v>
      </c>
      <c r="AP15" s="20">
        <f>AP10+AP14</f>
        <v>66042.1052631579</v>
      </c>
      <c r="AQ15" s="20">
        <f>AQ10+AQ14</f>
        <v>66042.1052631579</v>
      </c>
      <c r="AR15" s="20">
        <f>AR10+AR14</f>
        <v>66042.1052631579</v>
      </c>
      <c r="AS15" s="20">
        <f>AS10+AS14</f>
        <v>66042.1052631579</v>
      </c>
      <c r="AT15" s="20">
        <f>AT10+AT14</f>
        <v>66042.1052631579</v>
      </c>
      <c r="AU15" s="20">
        <f>AU10+AU14</f>
        <v>66042.1052631579</v>
      </c>
    </row>
    <row r="16" spans="1:48">
      <c r="A16" s="19" t="s">
        <v>216</v>
      </c>
      <c r="B16" s="12" t="s">
        <v>49</v>
      </c>
      <c r="C16" s="14" t="s">
        <v>217</v>
      </c>
      <c r="D16" s="20">
        <f>D10+'Inputs'!$E$13*'Inputs'!$E$15*(IF(D$5&lt;'Inputs'!$E$57,0,IF(D$5&lt;='Inputs'!$E$58,'Inputs'!$E$10,IF(D$5&gt;='Inputs'!$E$59,'Inputs'!$E$9,0))))+D13</f>
        <v>9959.42</v>
      </c>
      <c r="E16" s="20">
        <f>E10+'Inputs'!$E$13*'Inputs'!$E$15*(IF(E$5&lt;'Inputs'!$E$57,0,IF(E$5&lt;='Inputs'!$E$58,'Inputs'!$E$10,IF(E$5&gt;='Inputs'!$E$59,'Inputs'!$E$9,0))))+E13</f>
        <v>10029.764200000001</v>
      </c>
      <c r="F16" s="20">
        <f>F10+'Inputs'!$E$13*'Inputs'!$E$15*(IF(F$5&lt;'Inputs'!$E$57,0,IF(F$5&lt;='Inputs'!$E$58,'Inputs'!$E$10,IF(F$5&gt;='Inputs'!$E$59,'Inputs'!$E$9,0))))+F13</f>
        <v>10100.946842000001</v>
      </c>
      <c r="G16" s="20">
        <f>G10+'Inputs'!$E$13*'Inputs'!$E$15*(IF(G$5&lt;'Inputs'!$E$57,0,IF(G$5&lt;='Inputs'!$E$58,'Inputs'!$E$10,IF(G$5&gt;='Inputs'!$E$59,'Inputs'!$E$9,0))))+G13</f>
        <v>11447.97833542</v>
      </c>
      <c r="H16" s="20">
        <f>H10+'Inputs'!$E$13*'Inputs'!$E$15*(IF(H$5&lt;'Inputs'!$E$57,0,IF(H$5&lt;='Inputs'!$E$58,'Inputs'!$E$10,IF(H$5&gt;='Inputs'!$E$59,'Inputs'!$E$9,0))))+H13</f>
        <v>11520.869224149199</v>
      </c>
      <c r="I16" s="20">
        <f>I10+'Inputs'!$E$13*'Inputs'!$E$15*(IF(I$5&lt;'Inputs'!$E$57,0,IF(I$5&lt;='Inputs'!$E$58,'Inputs'!$E$10,IF(I$5&gt;='Inputs'!$E$59,'Inputs'!$E$9,0))))+I13</f>
        <v>22584.667517161946</v>
      </c>
      <c r="J16" s="20">
        <f>J10+'Inputs'!$E$13*'Inputs'!$E$15*(IF(J$5&lt;'Inputs'!$E$57,0,IF(J$5&lt;='Inputs'!$E$58,'Inputs'!$E$10,IF(J$5&gt;='Inputs'!$E$59,'Inputs'!$E$9,0))))+J13</f>
        <v>27332.004444184997</v>
      </c>
      <c r="K16" s="20">
        <f>K10+'Inputs'!$E$13*'Inputs'!$E$15*(IF(K$5&lt;'Inputs'!$E$57,0,IF(K$5&lt;='Inputs'!$E$58,'Inputs'!$E$10,IF(K$5&gt;='Inputs'!$E$59,'Inputs'!$E$9,0))))+K13</f>
        <v>32057.26096200442</v>
      </c>
      <c r="L16" s="20">
        <f>L10+'Inputs'!$E$13*'Inputs'!$E$15*(IF(L$5&lt;'Inputs'!$E$57,0,IF(L$5&lt;='Inputs'!$E$58,'Inputs'!$E$10,IF(L$5&gt;='Inputs'!$E$59,'Inputs'!$E$9,0))))+L13</f>
        <v>43496.88006252338</v>
      </c>
      <c r="M16" s="20">
        <f>M10+'Inputs'!$E$13*'Inputs'!$E$15*(IF(M$5&lt;'Inputs'!$E$57,0,IF(M$5&lt;='Inputs'!$E$58,'Inputs'!$E$10,IF(M$5&gt;='Inputs'!$E$59,'Inputs'!$E$9,0))))+M13</f>
        <v>47464.06985384961</v>
      </c>
      <c r="N16" s="20">
        <f>N10+'Inputs'!$E$13*'Inputs'!$E$15*(IF(N$5&lt;'Inputs'!$E$57,0,IF(N$5&lt;='Inputs'!$E$58,'Inputs'!$E$10,IF(N$5&gt;='Inputs'!$E$59,'Inputs'!$E$9,0))))+N13</f>
        <v>51415.78947368422</v>
      </c>
      <c r="O16" s="20">
        <f>O10+'Inputs'!$E$13*'Inputs'!$E$15*(IF(O$5&lt;'Inputs'!$E$57,0,IF(O$5&lt;='Inputs'!$E$58,'Inputs'!$E$10,IF(O$5&gt;='Inputs'!$E$59,'Inputs'!$E$9,0))))+O13</f>
        <v>51415.78947368421</v>
      </c>
      <c r="P16" s="20">
        <f>P10+'Inputs'!$E$13*'Inputs'!$E$15*(IF(P$5&lt;'Inputs'!$E$57,0,IF(P$5&lt;='Inputs'!$E$58,'Inputs'!$E$10,IF(P$5&gt;='Inputs'!$E$59,'Inputs'!$E$9,0))))+P13</f>
        <v>51415.78947368421</v>
      </c>
      <c r="Q16" s="20">
        <f>Q10+'Inputs'!$E$13*'Inputs'!$E$15*(IF(Q$5&lt;'Inputs'!$E$57,0,IF(Q$5&lt;='Inputs'!$E$58,'Inputs'!$E$10,IF(Q$5&gt;='Inputs'!$E$59,'Inputs'!$E$9,0))))+Q13</f>
        <v>51415.78947368421</v>
      </c>
      <c r="R16" s="20">
        <f>R10+'Inputs'!$E$13*'Inputs'!$E$15*(IF(R$5&lt;'Inputs'!$E$57,0,IF(R$5&lt;='Inputs'!$E$58,'Inputs'!$E$10,IF(R$5&gt;='Inputs'!$E$59,'Inputs'!$E$9,0))))+R13</f>
        <v>51415.78947368421</v>
      </c>
      <c r="S16" s="20">
        <f>S10+'Inputs'!$E$13*'Inputs'!$E$15*(IF(S$5&lt;'Inputs'!$E$57,0,IF(S$5&lt;='Inputs'!$E$58,'Inputs'!$E$10,IF(S$5&gt;='Inputs'!$E$59,'Inputs'!$E$9,0))))+S13</f>
        <v>57342.105263157886</v>
      </c>
      <c r="T16" s="20">
        <f>T10+'Inputs'!$E$13*'Inputs'!$E$15*(IF(T$5&lt;'Inputs'!$E$57,0,IF(T$5&lt;='Inputs'!$E$58,'Inputs'!$E$10,IF(T$5&gt;='Inputs'!$E$59,'Inputs'!$E$9,0))))+T13</f>
        <v>57342.10526315789</v>
      </c>
      <c r="U16" s="20">
        <f>U10+'Inputs'!$E$13*'Inputs'!$E$15*(IF(U$5&lt;'Inputs'!$E$57,0,IF(U$5&lt;='Inputs'!$E$58,'Inputs'!$E$10,IF(U$5&gt;='Inputs'!$E$59,'Inputs'!$E$9,0))))+U13</f>
        <v>57342.10526315789</v>
      </c>
      <c r="V16" s="20">
        <f>V10+'Inputs'!$E$13*'Inputs'!$E$15*(IF(V$5&lt;'Inputs'!$E$57,0,IF(V$5&lt;='Inputs'!$E$58,'Inputs'!$E$10,IF(V$5&gt;='Inputs'!$E$59,'Inputs'!$E$9,0))))+V13</f>
        <v>57342.10526315789</v>
      </c>
      <c r="W16" s="20">
        <f>W10+'Inputs'!$E$13*'Inputs'!$E$15*(IF(W$5&lt;'Inputs'!$E$57,0,IF(W$5&lt;='Inputs'!$E$58,'Inputs'!$E$10,IF(W$5&gt;='Inputs'!$E$59,'Inputs'!$E$9,0))))+W13</f>
        <v>57342.10526315789</v>
      </c>
      <c r="X16" s="20">
        <f>X10+'Inputs'!$E$13*'Inputs'!$E$15*(IF(X$5&lt;'Inputs'!$E$57,0,IF(X$5&lt;='Inputs'!$E$58,'Inputs'!$E$10,IF(X$5&gt;='Inputs'!$E$59,'Inputs'!$E$9,0))))+X13</f>
        <v>57342.1052631579</v>
      </c>
      <c r="Y16" s="20">
        <f>Y10+'Inputs'!$E$13*'Inputs'!$E$15*(IF(Y$5&lt;'Inputs'!$E$57,0,IF(Y$5&lt;='Inputs'!$E$58,'Inputs'!$E$10,IF(Y$5&gt;='Inputs'!$E$59,'Inputs'!$E$9,0))))+Y13</f>
        <v>57342.10526315789</v>
      </c>
      <c r="Z16" s="20">
        <f>Z10+'Inputs'!$E$13*'Inputs'!$E$15*(IF(Z$5&lt;'Inputs'!$E$57,0,IF(Z$5&lt;='Inputs'!$E$58,'Inputs'!$E$10,IF(Z$5&gt;='Inputs'!$E$59,'Inputs'!$E$9,0))))+Z13</f>
        <v>57342.10526315789</v>
      </c>
      <c r="AA16" s="20">
        <f>AA10+'Inputs'!$E$13*'Inputs'!$E$15*(IF(AA$5&lt;'Inputs'!$E$57,0,IF(AA$5&lt;='Inputs'!$E$58,'Inputs'!$E$10,IF(AA$5&gt;='Inputs'!$E$59,'Inputs'!$E$9,0))))+AA13</f>
        <v>57342.10526315789</v>
      </c>
      <c r="AB16" s="20">
        <f>AB10+'Inputs'!$E$13*'Inputs'!$E$15*(IF(AB$5&lt;'Inputs'!$E$57,0,IF(AB$5&lt;='Inputs'!$E$58,'Inputs'!$E$10,IF(AB$5&gt;='Inputs'!$E$59,'Inputs'!$E$9,0))))+AB13</f>
        <v>57342.10526315789</v>
      </c>
      <c r="AC16" s="20">
        <f>AC10+'Inputs'!$E$13*'Inputs'!$E$15*(IF(AC$5&lt;'Inputs'!$E$57,0,IF(AC$5&lt;='Inputs'!$E$58,'Inputs'!$E$10,IF(AC$5&gt;='Inputs'!$E$59,'Inputs'!$E$9,0))))+AC13</f>
        <v>57342.10526315789</v>
      </c>
      <c r="AD16" s="20">
        <f>AD10+'Inputs'!$E$13*'Inputs'!$E$15*(IF(AD$5&lt;'Inputs'!$E$57,0,IF(AD$5&lt;='Inputs'!$E$58,'Inputs'!$E$10,IF(AD$5&gt;='Inputs'!$E$59,'Inputs'!$E$9,0))))+AD13</f>
        <v>57342.10526315789</v>
      </c>
      <c r="AE16" s="20">
        <f>AE10+'Inputs'!$E$13*'Inputs'!$E$15*(IF(AE$5&lt;'Inputs'!$E$57,0,IF(AE$5&lt;='Inputs'!$E$58,'Inputs'!$E$10,IF(AE$5&gt;='Inputs'!$E$59,'Inputs'!$E$9,0))))+AE13</f>
        <v>57342.10526315789</v>
      </c>
      <c r="AF16" s="20">
        <f>AF10+'Inputs'!$E$13*'Inputs'!$E$15*(IF(AF$5&lt;'Inputs'!$E$57,0,IF(AF$5&lt;='Inputs'!$E$58,'Inputs'!$E$10,IF(AF$5&gt;='Inputs'!$E$59,'Inputs'!$E$9,0))))+AF13</f>
        <v>57342.10526315789</v>
      </c>
      <c r="AG16" s="20">
        <f>AG10+'Inputs'!$E$13*'Inputs'!$E$15*(IF(AG$5&lt;'Inputs'!$E$57,0,IF(AG$5&lt;='Inputs'!$E$58,'Inputs'!$E$10,IF(AG$5&gt;='Inputs'!$E$59,'Inputs'!$E$9,0))))+AG13</f>
        <v>57342.105263157886</v>
      </c>
      <c r="AH16" s="20">
        <f>AH10+'Inputs'!$E$13*'Inputs'!$E$15*(IF(AH$5&lt;'Inputs'!$E$57,0,IF(AH$5&lt;='Inputs'!$E$58,'Inputs'!$E$10,IF(AH$5&gt;='Inputs'!$E$59,'Inputs'!$E$9,0))))+AH13</f>
        <v>57342.10526315789</v>
      </c>
      <c r="AI16" s="20">
        <f>AI10+'Inputs'!$E$13*'Inputs'!$E$15*(IF(AI$5&lt;'Inputs'!$E$57,0,IF(AI$5&lt;='Inputs'!$E$58,'Inputs'!$E$10,IF(AI$5&gt;='Inputs'!$E$59,'Inputs'!$E$9,0))))+AI13</f>
        <v>57342.1052631579</v>
      </c>
      <c r="AJ16" s="20">
        <f>AJ10+'Inputs'!$E$13*'Inputs'!$E$15*(IF(AJ$5&lt;'Inputs'!$E$57,0,IF(AJ$5&lt;='Inputs'!$E$58,'Inputs'!$E$10,IF(AJ$5&gt;='Inputs'!$E$59,'Inputs'!$E$9,0))))+AJ13</f>
        <v>57342.10526315789</v>
      </c>
      <c r="AK16" s="20">
        <f>AK10+'Inputs'!$E$13*'Inputs'!$E$15*(IF(AK$5&lt;'Inputs'!$E$57,0,IF(AK$5&lt;='Inputs'!$E$58,'Inputs'!$E$10,IF(AK$5&gt;='Inputs'!$E$59,'Inputs'!$E$9,0))))+AK13</f>
        <v>57342.10526315789</v>
      </c>
      <c r="AL16" s="20">
        <f>AL10+'Inputs'!$E$13*'Inputs'!$E$15*(IF(AL$5&lt;'Inputs'!$E$57,0,IF(AL$5&lt;='Inputs'!$E$58,'Inputs'!$E$10,IF(AL$5&gt;='Inputs'!$E$59,'Inputs'!$E$9,0))))+AL13</f>
        <v>57342.10526315789</v>
      </c>
      <c r="AM16" s="20">
        <f>AM10+'Inputs'!$E$13*'Inputs'!$E$15*(IF(AM$5&lt;'Inputs'!$E$57,0,IF(AM$5&lt;='Inputs'!$E$58,'Inputs'!$E$10,IF(AM$5&gt;='Inputs'!$E$59,'Inputs'!$E$9,0))))+AM13</f>
        <v>57342.10526315789</v>
      </c>
      <c r="AN16" s="20">
        <f>AN10+'Inputs'!$E$13*'Inputs'!$E$15*(IF(AN$5&lt;'Inputs'!$E$57,0,IF(AN$5&lt;='Inputs'!$E$58,'Inputs'!$E$10,IF(AN$5&gt;='Inputs'!$E$59,'Inputs'!$E$9,0))))+AN13</f>
        <v>57342.10526315789</v>
      </c>
      <c r="AO16" s="20">
        <f>AO10+'Inputs'!$E$13*'Inputs'!$E$15*(IF(AO$5&lt;'Inputs'!$E$57,0,IF(AO$5&lt;='Inputs'!$E$58,'Inputs'!$E$10,IF(AO$5&gt;='Inputs'!$E$59,'Inputs'!$E$9,0))))+AO13</f>
        <v>57342.10526315789</v>
      </c>
      <c r="AP16" s="20">
        <f>AP10+'Inputs'!$E$13*'Inputs'!$E$15*(IF(AP$5&lt;'Inputs'!$E$57,0,IF(AP$5&lt;='Inputs'!$E$58,'Inputs'!$E$10,IF(AP$5&gt;='Inputs'!$E$59,'Inputs'!$E$9,0))))+AP13</f>
        <v>57342.10526315789</v>
      </c>
      <c r="AQ16" s="20">
        <f>AQ10+'Inputs'!$E$13*'Inputs'!$E$15*(IF(AQ$5&lt;'Inputs'!$E$57,0,IF(AQ$5&lt;='Inputs'!$E$58,'Inputs'!$E$10,IF(AQ$5&gt;='Inputs'!$E$59,'Inputs'!$E$9,0))))+AQ13</f>
        <v>57342.10526315789</v>
      </c>
      <c r="AR16" s="20">
        <f>AR10+'Inputs'!$E$13*'Inputs'!$E$15*(IF(AR$5&lt;'Inputs'!$E$57,0,IF(AR$5&lt;='Inputs'!$E$58,'Inputs'!$E$10,IF(AR$5&gt;='Inputs'!$E$59,'Inputs'!$E$9,0))))+AR13</f>
        <v>57342.10526315789</v>
      </c>
      <c r="AS16" s="20">
        <f>AS10+'Inputs'!$E$13*'Inputs'!$E$15*(IF(AS$5&lt;'Inputs'!$E$57,0,IF(AS$5&lt;='Inputs'!$E$58,'Inputs'!$E$10,IF(AS$5&gt;='Inputs'!$E$59,'Inputs'!$E$9,0))))+AS13</f>
        <v>57342.1052631579</v>
      </c>
      <c r="AT16" s="20">
        <f>AT10+'Inputs'!$E$13*'Inputs'!$E$15*(IF(AT$5&lt;'Inputs'!$E$57,0,IF(AT$5&lt;='Inputs'!$E$58,'Inputs'!$E$10,IF(AT$5&gt;='Inputs'!$E$59,'Inputs'!$E$9,0))))+AT13</f>
        <v>57342.10526315789</v>
      </c>
      <c r="AU16" s="20">
        <f>AU10+'Inputs'!$E$13*'Inputs'!$E$15*(IF(AU$5&lt;'Inputs'!$E$57,0,IF(AU$5&lt;='Inputs'!$E$58,'Inputs'!$E$10,IF(AU$5&gt;='Inputs'!$E$59,'Inputs'!$E$9,0))))+AU13</f>
        <v>57342.10526315789</v>
      </c>
    </row>
    <row r="17" spans="1:48">
      <c r="A17" s="3" t="s">
        <v>195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>
      <c r="A18" s="5" t="s">
        <v>218</v>
      </c>
      <c r="B18" s="12" t="s">
        <v>49</v>
      </c>
      <c r="C18" s="14" t="s">
        <v>219</v>
      </c>
      <c r="D18" s="21">
        <f>D16*'Inputs'!$E$27</f>
        <v>2091.4782</v>
      </c>
      <c r="E18" s="21">
        <f>E16*'Inputs'!$E$27</f>
        <v>2106.2504820000004</v>
      </c>
      <c r="F18" s="21">
        <f>F16*'Inputs'!$E$27</f>
        <v>2121.19883682</v>
      </c>
      <c r="G18" s="21">
        <f>G16*'Inputs'!$E$27</f>
        <v>2404.0754504382003</v>
      </c>
      <c r="H18" s="21">
        <f>H16*'Inputs'!$E$27</f>
        <v>2419.3825370713316</v>
      </c>
      <c r="I18" s="21">
        <f>I16*'Inputs'!$E$27</f>
        <v>4742.780178604008</v>
      </c>
      <c r="J18" s="21">
        <f>J16*'Inputs'!$E$27</f>
        <v>5739.720933278849</v>
      </c>
      <c r="K18" s="21">
        <f>K16*'Inputs'!$E$27</f>
        <v>6732.024802020928</v>
      </c>
      <c r="L18" s="21">
        <f>L16*'Inputs'!$E$27</f>
        <v>9134.344813129908</v>
      </c>
      <c r="M18" s="21">
        <f>M16*'Inputs'!$E$27</f>
        <v>9967.454669308418</v>
      </c>
      <c r="N18" s="21">
        <f>N16*'Inputs'!$E$27</f>
        <v>10797.315789473687</v>
      </c>
      <c r="O18" s="21">
        <f>O16*'Inputs'!$E$27</f>
        <v>10797.315789473685</v>
      </c>
      <c r="P18" s="21">
        <f>P16*'Inputs'!$E$27</f>
        <v>10797.315789473685</v>
      </c>
      <c r="Q18" s="21">
        <f>Q16*'Inputs'!$E$27</f>
        <v>10797.315789473685</v>
      </c>
      <c r="R18" s="21">
        <f>R16*'Inputs'!$E$27</f>
        <v>10797.315789473685</v>
      </c>
      <c r="S18" s="21">
        <f>S16*'Inputs'!$E$27</f>
        <v>12041.842105263155</v>
      </c>
      <c r="T18" s="21">
        <f>T16*'Inputs'!$E$27</f>
        <v>12041.842105263157</v>
      </c>
      <c r="U18" s="21">
        <f>U16*'Inputs'!$E$27</f>
        <v>12041.842105263157</v>
      </c>
      <c r="V18" s="21">
        <f>V16*'Inputs'!$E$27</f>
        <v>12041.842105263157</v>
      </c>
      <c r="W18" s="21">
        <f>W16*'Inputs'!$E$27</f>
        <v>12041.842105263157</v>
      </c>
      <c r="X18" s="21">
        <f>X16*'Inputs'!$E$27</f>
        <v>12041.842105263158</v>
      </c>
      <c r="Y18" s="21">
        <f>Y16*'Inputs'!$E$27</f>
        <v>12041.842105263157</v>
      </c>
      <c r="Z18" s="21">
        <f>Z16*'Inputs'!$E$27</f>
        <v>12041.842105263157</v>
      </c>
      <c r="AA18" s="21">
        <f>AA16*'Inputs'!$E$27</f>
        <v>12041.842105263157</v>
      </c>
      <c r="AB18" s="21">
        <f>AB16*'Inputs'!$E$27</f>
        <v>12041.842105263157</v>
      </c>
      <c r="AC18" s="21">
        <f>AC16*'Inputs'!$E$27</f>
        <v>12041.842105263157</v>
      </c>
      <c r="AD18" s="21">
        <f>AD16*'Inputs'!$E$27</f>
        <v>12041.842105263157</v>
      </c>
      <c r="AE18" s="21">
        <f>AE16*'Inputs'!$E$27</f>
        <v>12041.842105263157</v>
      </c>
      <c r="AF18" s="21">
        <f>AF16*'Inputs'!$E$27</f>
        <v>12041.842105263157</v>
      </c>
      <c r="AG18" s="21">
        <f>AG16*'Inputs'!$E$27</f>
        <v>12041.842105263155</v>
      </c>
      <c r="AH18" s="21">
        <f>AH16*'Inputs'!$E$27</f>
        <v>12041.842105263157</v>
      </c>
      <c r="AI18" s="21">
        <f>AI16*'Inputs'!$E$27</f>
        <v>12041.842105263158</v>
      </c>
      <c r="AJ18" s="21">
        <f>AJ16*'Inputs'!$E$27</f>
        <v>12041.842105263157</v>
      </c>
      <c r="AK18" s="21">
        <f>AK16*'Inputs'!$E$27</f>
        <v>12041.842105263157</v>
      </c>
      <c r="AL18" s="21">
        <f>AL16*'Inputs'!$E$27</f>
        <v>12041.842105263157</v>
      </c>
      <c r="AM18" s="21">
        <f>AM16*'Inputs'!$E$27</f>
        <v>12041.842105263157</v>
      </c>
      <c r="AN18" s="21">
        <f>AN16*'Inputs'!$E$27</f>
        <v>12041.842105263157</v>
      </c>
      <c r="AO18" s="21">
        <f>AO16*'Inputs'!$E$27</f>
        <v>12041.842105263157</v>
      </c>
      <c r="AP18" s="21">
        <f>AP16*'Inputs'!$E$27</f>
        <v>12041.842105263157</v>
      </c>
      <c r="AQ18" s="21">
        <f>AQ16*'Inputs'!$E$27</f>
        <v>12041.842105263157</v>
      </c>
      <c r="AR18" s="21">
        <f>AR16*'Inputs'!$E$27</f>
        <v>12041.842105263157</v>
      </c>
      <c r="AS18" s="21">
        <f>AS16*'Inputs'!$E$27</f>
        <v>12041.842105263158</v>
      </c>
      <c r="AT18" s="21">
        <f>AT16*'Inputs'!$E$27</f>
        <v>12041.842105263157</v>
      </c>
      <c r="AU18" s="21">
        <f>AU16*'Inputs'!$E$27</f>
        <v>12041.842105263157</v>
      </c>
    </row>
    <row r="19" spans="1:48">
      <c r="A19" s="5" t="s">
        <v>220</v>
      </c>
      <c r="B19" s="12" t="s">
        <v>221</v>
      </c>
      <c r="C19" s="14" t="s">
        <v>222</v>
      </c>
      <c r="D19" s="22">
        <f>IFERROR(D18/D16,0)</f>
        <v>0.21</v>
      </c>
      <c r="E19" s="22">
        <f>IFERROR(E18/E16,0)</f>
        <v>0.21</v>
      </c>
      <c r="F19" s="22">
        <f>IFERROR(F18/F16,0)</f>
        <v>0.21</v>
      </c>
      <c r="G19" s="22">
        <f>IFERROR(G18/G16,0)</f>
        <v>0.21</v>
      </c>
      <c r="H19" s="22">
        <f>IFERROR(H18/H16,0)</f>
        <v>0.21</v>
      </c>
      <c r="I19" s="22">
        <f>IFERROR(I18/I16,0)</f>
        <v>0.21</v>
      </c>
      <c r="J19" s="22">
        <f>IFERROR(J18/J16,0)</f>
        <v>0.21</v>
      </c>
      <c r="K19" s="22">
        <f>IFERROR(K18/K16,0)</f>
        <v>0.21</v>
      </c>
      <c r="L19" s="22">
        <f>IFERROR(L18/L16,0)</f>
        <v>0.21</v>
      </c>
      <c r="M19" s="22">
        <f>IFERROR(M18/M16,0)</f>
        <v>0.21</v>
      </c>
      <c r="N19" s="22">
        <f>IFERROR(N18/N16,0)</f>
        <v>0.21</v>
      </c>
      <c r="O19" s="22">
        <f>IFERROR(O18/O16,0)</f>
        <v>0.21</v>
      </c>
      <c r="P19" s="22">
        <f>IFERROR(P18/P16,0)</f>
        <v>0.21</v>
      </c>
      <c r="Q19" s="22">
        <f>IFERROR(Q18/Q16,0)</f>
        <v>0.21</v>
      </c>
      <c r="R19" s="22">
        <f>IFERROR(R18/R16,0)</f>
        <v>0.21</v>
      </c>
      <c r="S19" s="22">
        <f>IFERROR(S18/S16,0)</f>
        <v>0.21</v>
      </c>
      <c r="T19" s="22">
        <f>IFERROR(T18/T16,0)</f>
        <v>0.21</v>
      </c>
      <c r="U19" s="22">
        <f>IFERROR(U18/U16,0)</f>
        <v>0.21</v>
      </c>
      <c r="V19" s="22">
        <f>IFERROR(V18/V16,0)</f>
        <v>0.21</v>
      </c>
      <c r="W19" s="22">
        <f>IFERROR(W18/W16,0)</f>
        <v>0.21</v>
      </c>
      <c r="X19" s="22">
        <f>IFERROR(X18/X16,0)</f>
        <v>0.21</v>
      </c>
      <c r="Y19" s="22">
        <f>IFERROR(Y18/Y16,0)</f>
        <v>0.21</v>
      </c>
      <c r="Z19" s="22">
        <f>IFERROR(Z18/Z16,0)</f>
        <v>0.21</v>
      </c>
      <c r="AA19" s="22">
        <f>IFERROR(AA18/AA16,0)</f>
        <v>0.21</v>
      </c>
      <c r="AB19" s="22">
        <f>IFERROR(AB18/AB16,0)</f>
        <v>0.21</v>
      </c>
      <c r="AC19" s="22">
        <f>IFERROR(AC18/AC16,0)</f>
        <v>0.21</v>
      </c>
      <c r="AD19" s="22">
        <f>IFERROR(AD18/AD16,0)</f>
        <v>0.21</v>
      </c>
      <c r="AE19" s="22">
        <f>IFERROR(AE18/AE16,0)</f>
        <v>0.21</v>
      </c>
      <c r="AF19" s="22">
        <f>IFERROR(AF18/AF16,0)</f>
        <v>0.21</v>
      </c>
      <c r="AG19" s="22">
        <f>IFERROR(AG18/AG16,0)</f>
        <v>0.21</v>
      </c>
      <c r="AH19" s="22">
        <f>IFERROR(AH18/AH16,0)</f>
        <v>0.21</v>
      </c>
      <c r="AI19" s="22">
        <f>IFERROR(AI18/AI16,0)</f>
        <v>0.21</v>
      </c>
      <c r="AJ19" s="22">
        <f>IFERROR(AJ18/AJ16,0)</f>
        <v>0.21</v>
      </c>
      <c r="AK19" s="22">
        <f>IFERROR(AK18/AK16,0)</f>
        <v>0.21</v>
      </c>
      <c r="AL19" s="22">
        <f>IFERROR(AL18/AL16,0)</f>
        <v>0.21</v>
      </c>
      <c r="AM19" s="22">
        <f>IFERROR(AM18/AM16,0)</f>
        <v>0.21</v>
      </c>
      <c r="AN19" s="22">
        <f>IFERROR(AN18/AN16,0)</f>
        <v>0.21</v>
      </c>
      <c r="AO19" s="22">
        <f>IFERROR(AO18/AO16,0)</f>
        <v>0.21</v>
      </c>
      <c r="AP19" s="22">
        <f>IFERROR(AP18/AP16,0)</f>
        <v>0.21</v>
      </c>
      <c r="AQ19" s="22">
        <f>IFERROR(AQ18/AQ16,0)</f>
        <v>0.21</v>
      </c>
      <c r="AR19" s="22">
        <f>IFERROR(AR18/AR16,0)</f>
        <v>0.21</v>
      </c>
      <c r="AS19" s="22">
        <f>IFERROR(AS18/AS16,0)</f>
        <v>0.21</v>
      </c>
      <c r="AT19" s="22">
        <f>IFERROR(AT18/AT16,0)</f>
        <v>0.21</v>
      </c>
      <c r="AU19" s="22">
        <f>IFERROR(AU18/AU16,0)</f>
        <v>0.21</v>
      </c>
    </row>
    <row r="20" spans="1:48">
      <c r="A20" s="5" t="s">
        <v>223</v>
      </c>
      <c r="B20" s="12" t="s">
        <v>49</v>
      </c>
      <c r="C20" s="14" t="s">
        <v>224</v>
      </c>
      <c r="D20" s="21">
        <f>D11*'Inputs'!$E$12</f>
        <v>972.0</v>
      </c>
      <c r="E20" s="21">
        <f>E11*'Inputs'!$E$12</f>
        <v>972.0</v>
      </c>
      <c r="F20" s="21">
        <f>F11*'Inputs'!$E$12</f>
        <v>972.0</v>
      </c>
      <c r="G20" s="21">
        <f>G11*'Inputs'!$E$12</f>
        <v>1296.0</v>
      </c>
      <c r="H20" s="21">
        <f>H11*'Inputs'!$E$12</f>
        <v>1296.0</v>
      </c>
      <c r="I20" s="21">
        <f>I11*'Inputs'!$E$12</f>
        <v>1296.0</v>
      </c>
      <c r="J20" s="21">
        <f>J11*'Inputs'!$E$12</f>
        <v>1296.0</v>
      </c>
      <c r="K20" s="21">
        <f>K11*'Inputs'!$E$12</f>
        <v>1296.0</v>
      </c>
      <c r="L20" s="21">
        <f>L11*'Inputs'!$E$12</f>
        <v>1296.0</v>
      </c>
      <c r="M20" s="21">
        <f>M11*'Inputs'!$E$12</f>
        <v>1296.0</v>
      </c>
      <c r="N20" s="21">
        <f>N11*'Inputs'!$E$12</f>
        <v>1296.0</v>
      </c>
      <c r="O20" s="21">
        <f>O11*'Inputs'!$E$12</f>
        <v>1296.0</v>
      </c>
      <c r="P20" s="21">
        <f>P11*'Inputs'!$E$12</f>
        <v>1296.0</v>
      </c>
      <c r="Q20" s="21">
        <f>Q11*'Inputs'!$E$12</f>
        <v>1296.0</v>
      </c>
      <c r="R20" s="21">
        <f>R11*'Inputs'!$E$12</f>
        <v>1296.0</v>
      </c>
      <c r="S20" s="21">
        <f>S11*'Inputs'!$E$12</f>
        <v>1296.0</v>
      </c>
      <c r="T20" s="21">
        <f>T11*'Inputs'!$E$12</f>
        <v>1296.0</v>
      </c>
      <c r="U20" s="21">
        <f>U11*'Inputs'!$E$12</f>
        <v>1296.0</v>
      </c>
      <c r="V20" s="21">
        <f>V11*'Inputs'!$E$12</f>
        <v>1296.0</v>
      </c>
      <c r="W20" s="21">
        <f>W11*'Inputs'!$E$12</f>
        <v>1296.0</v>
      </c>
      <c r="X20" s="21">
        <f>X11*'Inputs'!$E$12</f>
        <v>1296.0</v>
      </c>
      <c r="Y20" s="21">
        <f>Y11*'Inputs'!$E$12</f>
        <v>1296.0</v>
      </c>
      <c r="Z20" s="21">
        <f>Z11*'Inputs'!$E$12</f>
        <v>1296.0</v>
      </c>
      <c r="AA20" s="21">
        <f>AA11*'Inputs'!$E$12</f>
        <v>1296.0</v>
      </c>
      <c r="AB20" s="21">
        <f>AB11*'Inputs'!$E$12</f>
        <v>1296.0</v>
      </c>
      <c r="AC20" s="21">
        <f>AC11*'Inputs'!$E$12</f>
        <v>1296.0</v>
      </c>
      <c r="AD20" s="21">
        <f>AD11*'Inputs'!$E$12</f>
        <v>1296.0</v>
      </c>
      <c r="AE20" s="21">
        <f>AE11*'Inputs'!$E$12</f>
        <v>1296.0</v>
      </c>
      <c r="AF20" s="21">
        <f>AF11*'Inputs'!$E$12</f>
        <v>1296.0</v>
      </c>
      <c r="AG20" s="21">
        <f>AG11*'Inputs'!$E$12</f>
        <v>1296.0</v>
      </c>
      <c r="AH20" s="21">
        <f>AH11*'Inputs'!$E$12</f>
        <v>1296.0</v>
      </c>
      <c r="AI20" s="21">
        <f>AI11*'Inputs'!$E$12</f>
        <v>1296.0</v>
      </c>
      <c r="AJ20" s="21">
        <f>AJ11*'Inputs'!$E$12</f>
        <v>1296.0</v>
      </c>
      <c r="AK20" s="21">
        <f>AK11*'Inputs'!$E$12</f>
        <v>1296.0</v>
      </c>
      <c r="AL20" s="21">
        <f>AL11*'Inputs'!$E$12</f>
        <v>1296.0</v>
      </c>
      <c r="AM20" s="21">
        <f>AM11*'Inputs'!$E$12</f>
        <v>1296.0</v>
      </c>
      <c r="AN20" s="21">
        <f>AN11*'Inputs'!$E$12</f>
        <v>1296.0</v>
      </c>
      <c r="AO20" s="21">
        <f>AO11*'Inputs'!$E$12</f>
        <v>1296.0</v>
      </c>
      <c r="AP20" s="21">
        <f>AP11*'Inputs'!$E$12</f>
        <v>1296.0</v>
      </c>
      <c r="AQ20" s="21">
        <f>AQ11*'Inputs'!$E$12</f>
        <v>1296.0</v>
      </c>
      <c r="AR20" s="21">
        <f>AR11*'Inputs'!$E$12</f>
        <v>1296.0</v>
      </c>
      <c r="AS20" s="21">
        <f>AS11*'Inputs'!$E$12</f>
        <v>1296.0</v>
      </c>
      <c r="AT20" s="21">
        <f>AT11*'Inputs'!$E$12</f>
        <v>1296.0</v>
      </c>
      <c r="AU20" s="21">
        <f>AU11*'Inputs'!$E$12</f>
        <v>1296.0</v>
      </c>
    </row>
    <row r="21" spans="1:48">
      <c r="A21" s="5" t="s">
        <v>125</v>
      </c>
      <c r="B21" s="12" t="s">
        <v>49</v>
      </c>
      <c r="C21" s="14" t="s">
        <v>225</v>
      </c>
      <c r="D21" s="21">
        <f>D16*'Inputs'!$E$37</f>
        <v>298.7826</v>
      </c>
      <c r="E21" s="21">
        <f>E16*'Inputs'!$E$37</f>
        <v>300.89292600000005</v>
      </c>
      <c r="F21" s="21">
        <f>F16*'Inputs'!$E$37</f>
        <v>303.02840526</v>
      </c>
      <c r="G21" s="21">
        <f>G16*'Inputs'!$E$37</f>
        <v>343.4393500626</v>
      </c>
      <c r="H21" s="21">
        <f>H16*'Inputs'!$E$37</f>
        <v>345.626076724476</v>
      </c>
      <c r="I21" s="21">
        <f>I16*'Inputs'!$E$37</f>
        <v>677.5400255148584</v>
      </c>
      <c r="J21" s="21">
        <f>J16*'Inputs'!$E$37</f>
        <v>819.9601333255499</v>
      </c>
      <c r="K21" s="21">
        <f>K16*'Inputs'!$E$37</f>
        <v>961.7178288601326</v>
      </c>
      <c r="L21" s="21">
        <f>L16*'Inputs'!$E$37</f>
        <v>1304.9064018757012</v>
      </c>
      <c r="M21" s="21">
        <f>M16*'Inputs'!$E$37</f>
        <v>1423.9220956154882</v>
      </c>
      <c r="N21" s="21">
        <f>N16*'Inputs'!$E$37</f>
        <v>1542.4736842105265</v>
      </c>
      <c r="O21" s="21">
        <f>O16*'Inputs'!$E$37</f>
        <v>1542.4736842105262</v>
      </c>
      <c r="P21" s="21">
        <f>P16*'Inputs'!$E$37</f>
        <v>1542.4736842105262</v>
      </c>
      <c r="Q21" s="21">
        <f>Q16*'Inputs'!$E$37</f>
        <v>1542.4736842105262</v>
      </c>
      <c r="R21" s="21">
        <f>R16*'Inputs'!$E$37</f>
        <v>1542.4736842105262</v>
      </c>
      <c r="S21" s="21">
        <f>S16*'Inputs'!$E$37</f>
        <v>1720.2631578947364</v>
      </c>
      <c r="T21" s="21">
        <f>T16*'Inputs'!$E$37</f>
        <v>1720.2631578947367</v>
      </c>
      <c r="U21" s="21">
        <f>U16*'Inputs'!$E$37</f>
        <v>1720.2631578947367</v>
      </c>
      <c r="V21" s="21">
        <f>V16*'Inputs'!$E$37</f>
        <v>1720.2631578947367</v>
      </c>
      <c r="W21" s="21">
        <f>W16*'Inputs'!$E$37</f>
        <v>1720.2631578947367</v>
      </c>
      <c r="X21" s="21">
        <f>X16*'Inputs'!$E$37</f>
        <v>1720.2631578947369</v>
      </c>
      <c r="Y21" s="21">
        <f>Y16*'Inputs'!$E$37</f>
        <v>1720.2631578947367</v>
      </c>
      <c r="Z21" s="21">
        <f>Z16*'Inputs'!$E$37</f>
        <v>1720.2631578947367</v>
      </c>
      <c r="AA21" s="21">
        <f>AA16*'Inputs'!$E$37</f>
        <v>1720.2631578947367</v>
      </c>
      <c r="AB21" s="21">
        <f>AB16*'Inputs'!$E$37</f>
        <v>1720.2631578947367</v>
      </c>
      <c r="AC21" s="21">
        <f>AC16*'Inputs'!$E$37</f>
        <v>1720.2631578947367</v>
      </c>
      <c r="AD21" s="21">
        <f>AD16*'Inputs'!$E$37</f>
        <v>1720.2631578947367</v>
      </c>
      <c r="AE21" s="21">
        <f>AE16*'Inputs'!$E$37</f>
        <v>1720.2631578947367</v>
      </c>
      <c r="AF21" s="21">
        <f>AF16*'Inputs'!$E$37</f>
        <v>1720.2631578947367</v>
      </c>
      <c r="AG21" s="21">
        <f>AG16*'Inputs'!$E$37</f>
        <v>1720.2631578947364</v>
      </c>
      <c r="AH21" s="21">
        <f>AH16*'Inputs'!$E$37</f>
        <v>1720.2631578947367</v>
      </c>
      <c r="AI21" s="21">
        <f>AI16*'Inputs'!$E$37</f>
        <v>1720.2631578947369</v>
      </c>
      <c r="AJ21" s="21">
        <f>AJ16*'Inputs'!$E$37</f>
        <v>1720.2631578947367</v>
      </c>
      <c r="AK21" s="21">
        <f>AK16*'Inputs'!$E$37</f>
        <v>1720.2631578947367</v>
      </c>
      <c r="AL21" s="21">
        <f>AL16*'Inputs'!$E$37</f>
        <v>1720.2631578947367</v>
      </c>
      <c r="AM21" s="21">
        <f>AM16*'Inputs'!$E$37</f>
        <v>1720.2631578947367</v>
      </c>
      <c r="AN21" s="21">
        <f>AN16*'Inputs'!$E$37</f>
        <v>1720.2631578947367</v>
      </c>
      <c r="AO21" s="21">
        <f>AO16*'Inputs'!$E$37</f>
        <v>1720.2631578947367</v>
      </c>
      <c r="AP21" s="21">
        <f>AP16*'Inputs'!$E$37</f>
        <v>1720.2631578947367</v>
      </c>
      <c r="AQ21" s="21">
        <f>AQ16*'Inputs'!$E$37</f>
        <v>1720.2631578947367</v>
      </c>
      <c r="AR21" s="21">
        <f>AR16*'Inputs'!$E$37</f>
        <v>1720.2631578947367</v>
      </c>
      <c r="AS21" s="21">
        <f>AS16*'Inputs'!$E$37</f>
        <v>1720.2631578947369</v>
      </c>
      <c r="AT21" s="21">
        <f>AT16*'Inputs'!$E$37</f>
        <v>1720.2631578947367</v>
      </c>
      <c r="AU21" s="21">
        <f>AU16*'Inputs'!$E$37</f>
        <v>1720.2631578947367</v>
      </c>
    </row>
    <row r="22" spans="1:48">
      <c r="A22" s="5" t="s">
        <v>226</v>
      </c>
      <c r="B22" s="12" t="s">
        <v>49</v>
      </c>
      <c r="C22" s="14" t="s">
        <v>227</v>
      </c>
      <c r="D22" s="21">
        <f>D15*(IF(D$5&lt;'Inputs'!$E$23,'Inputs'!$E$28,IF(D$5&lt;EDATE('Inputs'!$E$23,6),'Inputs'!$E$29,'Inputs'!$E$30)))</f>
        <v>1978.1303999999998</v>
      </c>
      <c r="E22" s="21">
        <f>E15*(IF(E$5&lt;'Inputs'!$E$23,'Inputs'!$E$28,IF(E$5&lt;EDATE('Inputs'!$E$23,6),'Inputs'!$E$29,'Inputs'!$E$30)))</f>
        <v>1986.5717040000002</v>
      </c>
      <c r="F22" s="21">
        <f>F15*(IF(F$5&lt;'Inputs'!$E$23,'Inputs'!$E$28,IF(F$5&lt;EDATE('Inputs'!$E$23,6),'Inputs'!$E$29,'Inputs'!$E$30)))</f>
        <v>1995.11362104</v>
      </c>
      <c r="G22" s="21">
        <f>G15*(IF(G$5&lt;'Inputs'!$E$23,'Inputs'!$E$28,IF(G$5&lt;EDATE('Inputs'!$E$23,6),'Inputs'!$E$29,'Inputs'!$E$30)))</f>
        <v>2417.7574002504</v>
      </c>
      <c r="H22" s="21">
        <f>H15*(IF(H$5&lt;'Inputs'!$E$23,'Inputs'!$E$28,IF(H$5&lt;EDATE('Inputs'!$E$23,6),'Inputs'!$E$29,'Inputs'!$E$30)))</f>
        <v>2426.504306897904</v>
      </c>
      <c r="I22" s="21">
        <f>I15*(IF(I$5&lt;'Inputs'!$E$23,'Inputs'!$E$28,IF(I$5&lt;EDATE('Inputs'!$E$23,6),'Inputs'!$E$29,'Inputs'!$E$30)))</f>
        <v>5318.3934779175315</v>
      </c>
      <c r="J22" s="21">
        <f>J15*(IF(J$5&lt;'Inputs'!$E$23,'Inputs'!$E$28,IF(J$5&lt;EDATE('Inputs'!$E$23,6),'Inputs'!$E$29,'Inputs'!$E$30)))</f>
        <v>6125.44075551145</v>
      </c>
      <c r="K22" s="21">
        <f>K15*(IF(K$5&lt;'Inputs'!$E$23,'Inputs'!$E$28,IF(K$5&lt;EDATE('Inputs'!$E$23,6),'Inputs'!$E$29,'Inputs'!$E$30)))</f>
        <v>6928.734363540752</v>
      </c>
      <c r="L22" s="21">
        <f>L15*(IF(L$5&lt;'Inputs'!$E$23,'Inputs'!$E$28,IF(L$5&lt;EDATE('Inputs'!$E$23,6),'Inputs'!$E$29,'Inputs'!$E$30)))</f>
        <v>8873.469610628976</v>
      </c>
      <c r="M22" s="21">
        <f>M15*(IF(M$5&lt;'Inputs'!$E$23,'Inputs'!$E$28,IF(M$5&lt;EDATE('Inputs'!$E$23,6),'Inputs'!$E$29,'Inputs'!$E$30)))</f>
        <v>9547.891875154433</v>
      </c>
      <c r="N22" s="21">
        <f>N15*(IF(N$5&lt;'Inputs'!$E$23,'Inputs'!$E$28,IF(N$5&lt;EDATE('Inputs'!$E$23,6),'Inputs'!$E$29,'Inputs'!$E$30)))</f>
        <v>10219.684210526319</v>
      </c>
      <c r="O22" s="21">
        <f>O15*(IF(O$5&lt;'Inputs'!$E$23,'Inputs'!$E$28,IF(O$5&lt;EDATE('Inputs'!$E$23,6),'Inputs'!$E$29,'Inputs'!$E$30)))</f>
        <v>8416.21052631579</v>
      </c>
      <c r="P22" s="21">
        <f>P15*(IF(P$5&lt;'Inputs'!$E$23,'Inputs'!$E$28,IF(P$5&lt;EDATE('Inputs'!$E$23,6),'Inputs'!$E$29,'Inputs'!$E$30)))</f>
        <v>8416.21052631579</v>
      </c>
      <c r="Q22" s="21">
        <f>Q15*(IF(Q$5&lt;'Inputs'!$E$23,'Inputs'!$E$28,IF(Q$5&lt;EDATE('Inputs'!$E$23,6),'Inputs'!$E$29,'Inputs'!$E$30)))</f>
        <v>8416.21052631579</v>
      </c>
      <c r="R22" s="21">
        <f>R15*(IF(R$5&lt;'Inputs'!$E$23,'Inputs'!$E$28,IF(R$5&lt;EDATE('Inputs'!$E$23,6),'Inputs'!$E$29,'Inputs'!$E$30)))</f>
        <v>8416.21052631579</v>
      </c>
      <c r="S22" s="21">
        <f>S15*(IF(S$5&lt;'Inputs'!$E$23,'Inputs'!$E$28,IF(S$5&lt;EDATE('Inputs'!$E$23,6),'Inputs'!$E$29,'Inputs'!$E$30)))</f>
        <v>9245.894736842107</v>
      </c>
      <c r="T22" s="21">
        <f>T15*(IF(T$5&lt;'Inputs'!$E$23,'Inputs'!$E$28,IF(T$5&lt;EDATE('Inputs'!$E$23,6),'Inputs'!$E$29,'Inputs'!$E$30)))</f>
        <v>9245.894736842107</v>
      </c>
      <c r="U22" s="21">
        <f>U15*(IF(U$5&lt;'Inputs'!$E$23,'Inputs'!$E$28,IF(U$5&lt;EDATE('Inputs'!$E$23,6),'Inputs'!$E$29,'Inputs'!$E$30)))</f>
        <v>9245.894736842107</v>
      </c>
      <c r="V22" s="21">
        <f>V15*(IF(V$5&lt;'Inputs'!$E$23,'Inputs'!$E$28,IF(V$5&lt;EDATE('Inputs'!$E$23,6),'Inputs'!$E$29,'Inputs'!$E$30)))</f>
        <v>9245.894736842107</v>
      </c>
      <c r="W22" s="21">
        <f>W15*(IF(W$5&lt;'Inputs'!$E$23,'Inputs'!$E$28,IF(W$5&lt;EDATE('Inputs'!$E$23,6),'Inputs'!$E$29,'Inputs'!$E$30)))</f>
        <v>9245.894736842107</v>
      </c>
      <c r="X22" s="21">
        <f>X15*(IF(X$5&lt;'Inputs'!$E$23,'Inputs'!$E$28,IF(X$5&lt;EDATE('Inputs'!$E$23,6),'Inputs'!$E$29,'Inputs'!$E$30)))</f>
        <v>9245.894736842107</v>
      </c>
      <c r="Y22" s="21">
        <f>Y15*(IF(Y$5&lt;'Inputs'!$E$23,'Inputs'!$E$28,IF(Y$5&lt;EDATE('Inputs'!$E$23,6),'Inputs'!$E$29,'Inputs'!$E$30)))</f>
        <v>9245.894736842107</v>
      </c>
      <c r="Z22" s="21">
        <f>Z15*(IF(Z$5&lt;'Inputs'!$E$23,'Inputs'!$E$28,IF(Z$5&lt;EDATE('Inputs'!$E$23,6),'Inputs'!$E$29,'Inputs'!$E$30)))</f>
        <v>9245.894736842107</v>
      </c>
      <c r="AA22" s="21">
        <f>AA15*(IF(AA$5&lt;'Inputs'!$E$23,'Inputs'!$E$28,IF(AA$5&lt;EDATE('Inputs'!$E$23,6),'Inputs'!$E$29,'Inputs'!$E$30)))</f>
        <v>9245.894736842107</v>
      </c>
      <c r="AB22" s="21">
        <f>AB15*(IF(AB$5&lt;'Inputs'!$E$23,'Inputs'!$E$28,IF(AB$5&lt;EDATE('Inputs'!$E$23,6),'Inputs'!$E$29,'Inputs'!$E$30)))</f>
        <v>9245.894736842107</v>
      </c>
      <c r="AC22" s="21">
        <f>AC15*(IF(AC$5&lt;'Inputs'!$E$23,'Inputs'!$E$28,IF(AC$5&lt;EDATE('Inputs'!$E$23,6),'Inputs'!$E$29,'Inputs'!$E$30)))</f>
        <v>9245.894736842107</v>
      </c>
      <c r="AD22" s="21">
        <f>AD15*(IF(AD$5&lt;'Inputs'!$E$23,'Inputs'!$E$28,IF(AD$5&lt;EDATE('Inputs'!$E$23,6),'Inputs'!$E$29,'Inputs'!$E$30)))</f>
        <v>9245.894736842107</v>
      </c>
      <c r="AE22" s="21">
        <f>AE15*(IF(AE$5&lt;'Inputs'!$E$23,'Inputs'!$E$28,IF(AE$5&lt;EDATE('Inputs'!$E$23,6),'Inputs'!$E$29,'Inputs'!$E$30)))</f>
        <v>9245.894736842107</v>
      </c>
      <c r="AF22" s="21">
        <f>AF15*(IF(AF$5&lt;'Inputs'!$E$23,'Inputs'!$E$28,IF(AF$5&lt;EDATE('Inputs'!$E$23,6),'Inputs'!$E$29,'Inputs'!$E$30)))</f>
        <v>9245.894736842107</v>
      </c>
      <c r="AG22" s="21">
        <f>AG15*(IF(AG$5&lt;'Inputs'!$E$23,'Inputs'!$E$28,IF(AG$5&lt;EDATE('Inputs'!$E$23,6),'Inputs'!$E$29,'Inputs'!$E$30)))</f>
        <v>9245.894736842107</v>
      </c>
      <c r="AH22" s="21">
        <f>AH15*(IF(AH$5&lt;'Inputs'!$E$23,'Inputs'!$E$28,IF(AH$5&lt;EDATE('Inputs'!$E$23,6),'Inputs'!$E$29,'Inputs'!$E$30)))</f>
        <v>9245.894736842107</v>
      </c>
      <c r="AI22" s="21">
        <f>AI15*(IF(AI$5&lt;'Inputs'!$E$23,'Inputs'!$E$28,IF(AI$5&lt;EDATE('Inputs'!$E$23,6),'Inputs'!$E$29,'Inputs'!$E$30)))</f>
        <v>9245.894736842107</v>
      </c>
      <c r="AJ22" s="21">
        <f>AJ15*(IF(AJ$5&lt;'Inputs'!$E$23,'Inputs'!$E$28,IF(AJ$5&lt;EDATE('Inputs'!$E$23,6),'Inputs'!$E$29,'Inputs'!$E$30)))</f>
        <v>9245.894736842107</v>
      </c>
      <c r="AK22" s="21">
        <f>AK15*(IF(AK$5&lt;'Inputs'!$E$23,'Inputs'!$E$28,IF(AK$5&lt;EDATE('Inputs'!$E$23,6),'Inputs'!$E$29,'Inputs'!$E$30)))</f>
        <v>9245.894736842107</v>
      </c>
      <c r="AL22" s="21">
        <f>AL15*(IF(AL$5&lt;'Inputs'!$E$23,'Inputs'!$E$28,IF(AL$5&lt;EDATE('Inputs'!$E$23,6),'Inputs'!$E$29,'Inputs'!$E$30)))</f>
        <v>9245.894736842107</v>
      </c>
      <c r="AM22" s="21">
        <f>AM15*(IF(AM$5&lt;'Inputs'!$E$23,'Inputs'!$E$28,IF(AM$5&lt;EDATE('Inputs'!$E$23,6),'Inputs'!$E$29,'Inputs'!$E$30)))</f>
        <v>9245.894736842107</v>
      </c>
      <c r="AN22" s="21">
        <f>AN15*(IF(AN$5&lt;'Inputs'!$E$23,'Inputs'!$E$28,IF(AN$5&lt;EDATE('Inputs'!$E$23,6),'Inputs'!$E$29,'Inputs'!$E$30)))</f>
        <v>9245.894736842107</v>
      </c>
      <c r="AO22" s="21">
        <f>AO15*(IF(AO$5&lt;'Inputs'!$E$23,'Inputs'!$E$28,IF(AO$5&lt;EDATE('Inputs'!$E$23,6),'Inputs'!$E$29,'Inputs'!$E$30)))</f>
        <v>9245.894736842107</v>
      </c>
      <c r="AP22" s="21">
        <f>AP15*(IF(AP$5&lt;'Inputs'!$E$23,'Inputs'!$E$28,IF(AP$5&lt;EDATE('Inputs'!$E$23,6),'Inputs'!$E$29,'Inputs'!$E$30)))</f>
        <v>9245.894736842107</v>
      </c>
      <c r="AQ22" s="21">
        <f>AQ15*(IF(AQ$5&lt;'Inputs'!$E$23,'Inputs'!$E$28,IF(AQ$5&lt;EDATE('Inputs'!$E$23,6),'Inputs'!$E$29,'Inputs'!$E$30)))</f>
        <v>9245.894736842107</v>
      </c>
      <c r="AR22" s="21">
        <f>AR15*(IF(AR$5&lt;'Inputs'!$E$23,'Inputs'!$E$28,IF(AR$5&lt;EDATE('Inputs'!$E$23,6),'Inputs'!$E$29,'Inputs'!$E$30)))</f>
        <v>9245.894736842107</v>
      </c>
      <c r="AS22" s="21">
        <f>AS15*(IF(AS$5&lt;'Inputs'!$E$23,'Inputs'!$E$28,IF(AS$5&lt;EDATE('Inputs'!$E$23,6),'Inputs'!$E$29,'Inputs'!$E$30)))</f>
        <v>9245.894736842107</v>
      </c>
      <c r="AT22" s="21">
        <f>AT15*(IF(AT$5&lt;'Inputs'!$E$23,'Inputs'!$E$28,IF(AT$5&lt;EDATE('Inputs'!$E$23,6),'Inputs'!$E$29,'Inputs'!$E$30)))</f>
        <v>9245.894736842107</v>
      </c>
      <c r="AU22" s="21">
        <f>AU15*(IF(AU$5&lt;'Inputs'!$E$23,'Inputs'!$E$28,IF(AU$5&lt;EDATE('Inputs'!$E$23,6),'Inputs'!$E$29,'Inputs'!$E$30)))</f>
        <v>9245.894736842107</v>
      </c>
    </row>
    <row r="23" spans="1:48">
      <c r="A23" s="5" t="s">
        <v>114</v>
      </c>
      <c r="B23" s="12" t="s">
        <v>49</v>
      </c>
      <c r="C23" s="14" t="s">
        <v>228</v>
      </c>
      <c r="D23" s="21">
        <f>'Inputs'!$E$32</f>
        <v>7500.0</v>
      </c>
      <c r="E23" s="21">
        <f>'Inputs'!$E$32</f>
        <v>7500.0</v>
      </c>
      <c r="F23" s="21">
        <f>'Inputs'!$E$32</f>
        <v>7500.0</v>
      </c>
      <c r="G23" s="21">
        <f>'Inputs'!$E$32</f>
        <v>7500.0</v>
      </c>
      <c r="H23" s="21">
        <f>'Inputs'!$E$32</f>
        <v>7500.0</v>
      </c>
      <c r="I23" s="21">
        <f>'Inputs'!$E$32</f>
        <v>7500.0</v>
      </c>
      <c r="J23" s="21">
        <f>'Inputs'!$E$32</f>
        <v>7500.0</v>
      </c>
      <c r="K23" s="21">
        <f>'Inputs'!$E$32</f>
        <v>7500.0</v>
      </c>
      <c r="L23" s="21">
        <f>'Inputs'!$E$32</f>
        <v>7500.0</v>
      </c>
      <c r="M23" s="21">
        <f>'Inputs'!$E$32</f>
        <v>7500.0</v>
      </c>
      <c r="N23" s="21">
        <f>'Inputs'!$E$32</f>
        <v>7500.0</v>
      </c>
      <c r="O23" s="21">
        <f>'Inputs'!$E$32</f>
        <v>7500.0</v>
      </c>
      <c r="P23" s="21">
        <f>'Inputs'!$E$32</f>
        <v>7500.0</v>
      </c>
      <c r="Q23" s="21">
        <f>'Inputs'!$E$32</f>
        <v>7500.0</v>
      </c>
      <c r="R23" s="21">
        <f>'Inputs'!$E$32</f>
        <v>7500.0</v>
      </c>
      <c r="S23" s="21">
        <f>'Inputs'!$E$32</f>
        <v>7500.0</v>
      </c>
      <c r="T23" s="21">
        <f>'Inputs'!$E$32</f>
        <v>7500.0</v>
      </c>
      <c r="U23" s="21">
        <f>'Inputs'!$E$32</f>
        <v>7500.0</v>
      </c>
      <c r="V23" s="21">
        <f>'Inputs'!$E$32</f>
        <v>7500.0</v>
      </c>
      <c r="W23" s="21">
        <f>'Inputs'!$E$32</f>
        <v>7500.0</v>
      </c>
      <c r="X23" s="21">
        <f>'Inputs'!$E$32</f>
        <v>7500.0</v>
      </c>
      <c r="Y23" s="21">
        <f>'Inputs'!$E$32</f>
        <v>7500.0</v>
      </c>
      <c r="Z23" s="21">
        <f>'Inputs'!$E$32</f>
        <v>7500.0</v>
      </c>
      <c r="AA23" s="21">
        <f>'Inputs'!$E$32</f>
        <v>7500.0</v>
      </c>
      <c r="AB23" s="21">
        <f>'Inputs'!$E$32</f>
        <v>7500.0</v>
      </c>
      <c r="AC23" s="21">
        <f>'Inputs'!$E$32</f>
        <v>7500.0</v>
      </c>
      <c r="AD23" s="21">
        <f>'Inputs'!$E$32</f>
        <v>7500.0</v>
      </c>
      <c r="AE23" s="21">
        <f>'Inputs'!$E$32</f>
        <v>7500.0</v>
      </c>
      <c r="AF23" s="21">
        <f>'Inputs'!$E$32</f>
        <v>7500.0</v>
      </c>
      <c r="AG23" s="21">
        <f>'Inputs'!$E$32</f>
        <v>7500.0</v>
      </c>
      <c r="AH23" s="21">
        <f>'Inputs'!$E$32</f>
        <v>7500.0</v>
      </c>
      <c r="AI23" s="21">
        <f>'Inputs'!$E$32</f>
        <v>7500.0</v>
      </c>
      <c r="AJ23" s="21">
        <f>'Inputs'!$E$32</f>
        <v>7500.0</v>
      </c>
      <c r="AK23" s="21">
        <f>'Inputs'!$E$32</f>
        <v>7500.0</v>
      </c>
      <c r="AL23" s="21">
        <f>'Inputs'!$E$32</f>
        <v>7500.0</v>
      </c>
      <c r="AM23" s="21">
        <f>'Inputs'!$E$32</f>
        <v>7500.0</v>
      </c>
      <c r="AN23" s="21">
        <f>'Inputs'!$E$32</f>
        <v>7500.0</v>
      </c>
      <c r="AO23" s="21">
        <f>'Inputs'!$E$32</f>
        <v>7500.0</v>
      </c>
      <c r="AP23" s="21">
        <f>'Inputs'!$E$32</f>
        <v>7500.0</v>
      </c>
      <c r="AQ23" s="21">
        <f>'Inputs'!$E$32</f>
        <v>7500.0</v>
      </c>
      <c r="AR23" s="21">
        <f>'Inputs'!$E$32</f>
        <v>7500.0</v>
      </c>
      <c r="AS23" s="21">
        <f>'Inputs'!$E$32</f>
        <v>7500.0</v>
      </c>
      <c r="AT23" s="21">
        <f>'Inputs'!$E$32</f>
        <v>7500.0</v>
      </c>
      <c r="AU23" s="21">
        <f>'Inputs'!$E$32</f>
        <v>7500.0</v>
      </c>
    </row>
    <row r="24" spans="1:48">
      <c r="A24" s="5" t="s">
        <v>111</v>
      </c>
      <c r="B24" s="12" t="s">
        <v>49</v>
      </c>
      <c r="C24" s="14" t="s">
        <v>229</v>
      </c>
      <c r="D24" s="21">
        <f>D22*'Inputs'!$E$31</f>
        <v>197.81304</v>
      </c>
      <c r="E24" s="21">
        <f>E22*'Inputs'!$E$31</f>
        <v>198.65717040000004</v>
      </c>
      <c r="F24" s="21">
        <f>F22*'Inputs'!$E$31</f>
        <v>199.511362104</v>
      </c>
      <c r="G24" s="21">
        <f>G22*'Inputs'!$E$31</f>
        <v>241.77574002504002</v>
      </c>
      <c r="H24" s="21">
        <f>H22*'Inputs'!$E$31</f>
        <v>242.6504306897904</v>
      </c>
      <c r="I24" s="21">
        <f>I22*'Inputs'!$E$31</f>
        <v>531.8393477917532</v>
      </c>
      <c r="J24" s="21">
        <f>J22*'Inputs'!$E$31</f>
        <v>612.544075551145</v>
      </c>
      <c r="K24" s="21">
        <f>K22*'Inputs'!$E$31</f>
        <v>692.8734363540752</v>
      </c>
      <c r="L24" s="21">
        <f>L22*'Inputs'!$E$31</f>
        <v>887.3469610628977</v>
      </c>
      <c r="M24" s="21">
        <f>M22*'Inputs'!$E$31</f>
        <v>954.7891875154434</v>
      </c>
      <c r="N24" s="21">
        <f>N22*'Inputs'!$E$31</f>
        <v>1021.9684210526319</v>
      </c>
      <c r="O24" s="21">
        <f>O22*'Inputs'!$E$31</f>
        <v>841.621052631579</v>
      </c>
      <c r="P24" s="21">
        <f>P22*'Inputs'!$E$31</f>
        <v>841.621052631579</v>
      </c>
      <c r="Q24" s="21">
        <f>Q22*'Inputs'!$E$31</f>
        <v>841.621052631579</v>
      </c>
      <c r="R24" s="21">
        <f>R22*'Inputs'!$E$31</f>
        <v>841.621052631579</v>
      </c>
      <c r="S24" s="21">
        <f>S22*'Inputs'!$E$31</f>
        <v>924.5894736842107</v>
      </c>
      <c r="T24" s="21">
        <f>T22*'Inputs'!$E$31</f>
        <v>924.5894736842107</v>
      </c>
      <c r="U24" s="21">
        <f>U22*'Inputs'!$E$31</f>
        <v>924.5894736842107</v>
      </c>
      <c r="V24" s="21">
        <f>V22*'Inputs'!$E$31</f>
        <v>924.5894736842107</v>
      </c>
      <c r="W24" s="21">
        <f>W22*'Inputs'!$E$31</f>
        <v>924.5894736842107</v>
      </c>
      <c r="X24" s="21">
        <f>X22*'Inputs'!$E$31</f>
        <v>924.5894736842107</v>
      </c>
      <c r="Y24" s="21">
        <f>Y22*'Inputs'!$E$31</f>
        <v>924.5894736842107</v>
      </c>
      <c r="Z24" s="21">
        <f>Z22*'Inputs'!$E$31</f>
        <v>924.5894736842107</v>
      </c>
      <c r="AA24" s="21">
        <f>AA22*'Inputs'!$E$31</f>
        <v>924.5894736842107</v>
      </c>
      <c r="AB24" s="21">
        <f>AB22*'Inputs'!$E$31</f>
        <v>924.5894736842107</v>
      </c>
      <c r="AC24" s="21">
        <f>AC22*'Inputs'!$E$31</f>
        <v>924.5894736842107</v>
      </c>
      <c r="AD24" s="21">
        <f>AD22*'Inputs'!$E$31</f>
        <v>924.5894736842107</v>
      </c>
      <c r="AE24" s="21">
        <f>AE22*'Inputs'!$E$31</f>
        <v>924.5894736842107</v>
      </c>
      <c r="AF24" s="21">
        <f>AF22*'Inputs'!$E$31</f>
        <v>924.5894736842107</v>
      </c>
      <c r="AG24" s="21">
        <f>AG22*'Inputs'!$E$31</f>
        <v>924.5894736842107</v>
      </c>
      <c r="AH24" s="21">
        <f>AH22*'Inputs'!$E$31</f>
        <v>924.5894736842107</v>
      </c>
      <c r="AI24" s="21">
        <f>AI22*'Inputs'!$E$31</f>
        <v>924.5894736842107</v>
      </c>
      <c r="AJ24" s="21">
        <f>AJ22*'Inputs'!$E$31</f>
        <v>924.5894736842107</v>
      </c>
      <c r="AK24" s="21">
        <f>AK22*'Inputs'!$E$31</f>
        <v>924.5894736842107</v>
      </c>
      <c r="AL24" s="21">
        <f>AL22*'Inputs'!$E$31</f>
        <v>924.5894736842107</v>
      </c>
      <c r="AM24" s="21">
        <f>AM22*'Inputs'!$E$31</f>
        <v>924.5894736842107</v>
      </c>
      <c r="AN24" s="21">
        <f>AN22*'Inputs'!$E$31</f>
        <v>924.5894736842107</v>
      </c>
      <c r="AO24" s="21">
        <f>AO22*'Inputs'!$E$31</f>
        <v>924.5894736842107</v>
      </c>
      <c r="AP24" s="21">
        <f>AP22*'Inputs'!$E$31</f>
        <v>924.5894736842107</v>
      </c>
      <c r="AQ24" s="21">
        <f>AQ22*'Inputs'!$E$31</f>
        <v>924.5894736842107</v>
      </c>
      <c r="AR24" s="21">
        <f>AR22*'Inputs'!$E$31</f>
        <v>924.5894736842107</v>
      </c>
      <c r="AS24" s="21">
        <f>AS22*'Inputs'!$E$31</f>
        <v>924.5894736842107</v>
      </c>
      <c r="AT24" s="21">
        <f>AT22*'Inputs'!$E$31</f>
        <v>924.5894736842107</v>
      </c>
      <c r="AU24" s="21">
        <f>AU22*'Inputs'!$E$31</f>
        <v>924.5894736842107</v>
      </c>
    </row>
    <row r="25" spans="1:48">
      <c r="A25" s="19" t="s">
        <v>230</v>
      </c>
      <c r="B25" s="12" t="s">
        <v>49</v>
      </c>
      <c r="C25" s="14" t="s">
        <v>231</v>
      </c>
      <c r="D25" s="20">
        <f>SUM(D22,D23,D24)</f>
        <v>9675.94344</v>
      </c>
      <c r="E25" s="20">
        <f>SUM(E22,E23,E24)</f>
        <v>9685.2288744</v>
      </c>
      <c r="F25" s="20">
        <f>SUM(F22,F23,F24)</f>
        <v>9694.624983144</v>
      </c>
      <c r="G25" s="20">
        <f>SUM(G22,G23,G24)</f>
        <v>10159.53314027544</v>
      </c>
      <c r="H25" s="20">
        <f>SUM(H22,H23,H24)</f>
        <v>10169.154737587693</v>
      </c>
      <c r="I25" s="20">
        <f>SUM(I22,I23,I24)</f>
        <v>13350.232825709285</v>
      </c>
      <c r="J25" s="20">
        <f>SUM(J22,J23,J24)</f>
        <v>14237.984831062595</v>
      </c>
      <c r="K25" s="20">
        <f>SUM(K22,K23,K24)</f>
        <v>15121.607799894828</v>
      </c>
      <c r="L25" s="20">
        <f>SUM(L22,L23,L24)</f>
        <v>17260.816571691874</v>
      </c>
      <c r="M25" s="20">
        <f>SUM(M22,M23,M24)</f>
        <v>18002.681062669875</v>
      </c>
      <c r="N25" s="20">
        <f>SUM(N22,N23,N24)</f>
        <v>18741.652631578952</v>
      </c>
      <c r="O25" s="20">
        <f>SUM(O22,O23,O24)</f>
        <v>16757.83157894737</v>
      </c>
      <c r="P25" s="20">
        <f>SUM(P22,P23,P24)</f>
        <v>16757.83157894737</v>
      </c>
      <c r="Q25" s="20">
        <f>SUM(Q22,Q23,Q24)</f>
        <v>16757.83157894737</v>
      </c>
      <c r="R25" s="20">
        <f>SUM(R22,R23,R24)</f>
        <v>16757.83157894737</v>
      </c>
      <c r="S25" s="20">
        <f>SUM(S22,S23,S24)</f>
        <v>17670.484210526316</v>
      </c>
      <c r="T25" s="20">
        <f>SUM(T22,T23,T24)</f>
        <v>17670.484210526316</v>
      </c>
      <c r="U25" s="20">
        <f>SUM(U22,U23,U24)</f>
        <v>17670.484210526316</v>
      </c>
      <c r="V25" s="20">
        <f>SUM(V22,V23,V24)</f>
        <v>17670.484210526316</v>
      </c>
      <c r="W25" s="20">
        <f>SUM(W22,W23,W24)</f>
        <v>17670.484210526316</v>
      </c>
      <c r="X25" s="20">
        <f>SUM(X22,X23,X24)</f>
        <v>17670.484210526316</v>
      </c>
      <c r="Y25" s="20">
        <f>SUM(Y22,Y23,Y24)</f>
        <v>17670.484210526316</v>
      </c>
      <c r="Z25" s="20">
        <f>SUM(Z22,Z23,Z24)</f>
        <v>17670.484210526316</v>
      </c>
      <c r="AA25" s="20">
        <f>SUM(AA22,AA23,AA24)</f>
        <v>17670.484210526316</v>
      </c>
      <c r="AB25" s="20">
        <f>SUM(AB22,AB23,AB24)</f>
        <v>17670.484210526316</v>
      </c>
      <c r="AC25" s="20">
        <f>SUM(AC22,AC23,AC24)</f>
        <v>17670.484210526316</v>
      </c>
      <c r="AD25" s="20">
        <f>SUM(AD22,AD23,AD24)</f>
        <v>17670.484210526316</v>
      </c>
      <c r="AE25" s="20">
        <f>SUM(AE22,AE23,AE24)</f>
        <v>17670.484210526316</v>
      </c>
      <c r="AF25" s="20">
        <f>SUM(AF22,AF23,AF24)</f>
        <v>17670.484210526316</v>
      </c>
      <c r="AG25" s="20">
        <f>SUM(AG22,AG23,AG24)</f>
        <v>17670.484210526316</v>
      </c>
      <c r="AH25" s="20">
        <f>SUM(AH22,AH23,AH24)</f>
        <v>17670.484210526316</v>
      </c>
      <c r="AI25" s="20">
        <f>SUM(AI22,AI23,AI24)</f>
        <v>17670.484210526316</v>
      </c>
      <c r="AJ25" s="20">
        <f>SUM(AJ22,AJ23,AJ24)</f>
        <v>17670.484210526316</v>
      </c>
      <c r="AK25" s="20">
        <f>SUM(AK22,AK23,AK24)</f>
        <v>17670.484210526316</v>
      </c>
      <c r="AL25" s="20">
        <f>SUM(AL22,AL23,AL24)</f>
        <v>17670.484210526316</v>
      </c>
      <c r="AM25" s="20">
        <f>SUM(AM22,AM23,AM24)</f>
        <v>17670.484210526316</v>
      </c>
      <c r="AN25" s="20">
        <f>SUM(AN22,AN23,AN24)</f>
        <v>17670.484210526316</v>
      </c>
      <c r="AO25" s="20">
        <f>SUM(AO22,AO23,AO24)</f>
        <v>17670.484210526316</v>
      </c>
      <c r="AP25" s="20">
        <f>SUM(AP22,AP23,AP24)</f>
        <v>17670.484210526316</v>
      </c>
      <c r="AQ25" s="20">
        <f>SUM(AQ22,AQ23,AQ24)</f>
        <v>17670.484210526316</v>
      </c>
      <c r="AR25" s="20">
        <f>SUM(AR22,AR23,AR24)</f>
        <v>17670.484210526316</v>
      </c>
      <c r="AS25" s="20">
        <f>SUM(AS22,AS23,AS24)</f>
        <v>17670.484210526316</v>
      </c>
      <c r="AT25" s="20">
        <f>SUM(AT22,AT23,AT24)</f>
        <v>17670.484210526316</v>
      </c>
      <c r="AU25" s="20">
        <f>SUM(AU22,AU23,AU24)</f>
        <v>17670.484210526316</v>
      </c>
    </row>
    <row r="26" spans="1:48">
      <c r="A26" s="5" t="s">
        <v>232</v>
      </c>
      <c r="B26" s="12" t="s">
        <v>221</v>
      </c>
      <c r="C26" s="14" t="s">
        <v>233</v>
      </c>
      <c r="D26" s="22">
        <f>IFERROR(D25/D15,0)</f>
        <v>0.5869750613003066</v>
      </c>
      <c r="E26" s="22">
        <f>IFERROR(E25/E15,0)</f>
        <v>0.585041789625732</v>
      </c>
      <c r="F26" s="22">
        <f>IFERROR(F25/F15,0)</f>
        <v>0.5831021279734704</v>
      </c>
      <c r="G26" s="22">
        <f>IFERROR(G25/G15,0)</f>
        <v>0.5042457844227008</v>
      </c>
      <c r="H26" s="22">
        <f>IFERROR(H25/H15,0)</f>
        <v>0.5029039367626672</v>
      </c>
      <c r="I26" s="22">
        <f>IFERROR(I25/I15,0)</f>
        <v>0.42673404850429364</v>
      </c>
      <c r="J26" s="22">
        <f>IFERROR(J25/J15,0)</f>
        <v>0.3951482869380136</v>
      </c>
      <c r="K26" s="22">
        <f>IFERROR(K25/K15,0)</f>
        <v>0.371016291158324</v>
      </c>
      <c r="L26" s="22">
        <f>IFERROR(L25/L15,0)</f>
        <v>0.3306867489209359</v>
      </c>
      <c r="M26" s="22">
        <f>IFERROR(M25/M15,0)</f>
        <v>0.32053733124249245</v>
      </c>
      <c r="N26" s="22">
        <f>IFERROR(N25/N15,0)</f>
        <v>0.3117592365610226</v>
      </c>
      <c r="O26" s="22">
        <f>IFERROR(O25/O15,0)</f>
        <v>0.27875923656102264</v>
      </c>
      <c r="P26" s="22">
        <f>IFERROR(P25/P15,0)</f>
        <v>0.27875923656102264</v>
      </c>
      <c r="Q26" s="22">
        <f>IFERROR(Q25/Q15,0)</f>
        <v>0.27875923656102264</v>
      </c>
      <c r="R26" s="22">
        <f>IFERROR(R25/R15,0)</f>
        <v>0.27875923656102264</v>
      </c>
      <c r="S26" s="22">
        <f>IFERROR(S25/S15,0)</f>
        <v>0.26756391456805867</v>
      </c>
      <c r="T26" s="22">
        <f>IFERROR(T25/T15,0)</f>
        <v>0.26756391456805867</v>
      </c>
      <c r="U26" s="22">
        <f>IFERROR(U25/U15,0)</f>
        <v>0.26756391456805867</v>
      </c>
      <c r="V26" s="22">
        <f>IFERROR(V25/V15,0)</f>
        <v>0.26756391456805867</v>
      </c>
      <c r="W26" s="22">
        <f>IFERROR(W25/W15,0)</f>
        <v>0.26756391456805867</v>
      </c>
      <c r="X26" s="22">
        <f>IFERROR(X25/X15,0)</f>
        <v>0.26756391456805867</v>
      </c>
      <c r="Y26" s="22">
        <f>IFERROR(Y25/Y15,0)</f>
        <v>0.26756391456805867</v>
      </c>
      <c r="Z26" s="22">
        <f>IFERROR(Z25/Z15,0)</f>
        <v>0.26756391456805867</v>
      </c>
      <c r="AA26" s="22">
        <f>IFERROR(AA25/AA15,0)</f>
        <v>0.26756391456805867</v>
      </c>
      <c r="AB26" s="22">
        <f>IFERROR(AB25/AB15,0)</f>
        <v>0.26756391456805867</v>
      </c>
      <c r="AC26" s="22">
        <f>IFERROR(AC25/AC15,0)</f>
        <v>0.26756391456805867</v>
      </c>
      <c r="AD26" s="22">
        <f>IFERROR(AD25/AD15,0)</f>
        <v>0.26756391456805867</v>
      </c>
      <c r="AE26" s="22">
        <f>IFERROR(AE25/AE15,0)</f>
        <v>0.26756391456805867</v>
      </c>
      <c r="AF26" s="22">
        <f>IFERROR(AF25/AF15,0)</f>
        <v>0.26756391456805867</v>
      </c>
      <c r="AG26" s="22">
        <f>IFERROR(AG25/AG15,0)</f>
        <v>0.26756391456805867</v>
      </c>
      <c r="AH26" s="22">
        <f>IFERROR(AH25/AH15,0)</f>
        <v>0.26756391456805867</v>
      </c>
      <c r="AI26" s="22">
        <f>IFERROR(AI25/AI15,0)</f>
        <v>0.26756391456805867</v>
      </c>
      <c r="AJ26" s="22">
        <f>IFERROR(AJ25/AJ15,0)</f>
        <v>0.26756391456805867</v>
      </c>
      <c r="AK26" s="22">
        <f>IFERROR(AK25/AK15,0)</f>
        <v>0.26756391456805867</v>
      </c>
      <c r="AL26" s="22">
        <f>IFERROR(AL25/AL15,0)</f>
        <v>0.26756391456805867</v>
      </c>
      <c r="AM26" s="22">
        <f>IFERROR(AM25/AM15,0)</f>
        <v>0.26756391456805867</v>
      </c>
      <c r="AN26" s="22">
        <f>IFERROR(AN25/AN15,0)</f>
        <v>0.26756391456805867</v>
      </c>
      <c r="AO26" s="22">
        <f>IFERROR(AO25/AO15,0)</f>
        <v>0.26756391456805867</v>
      </c>
      <c r="AP26" s="22">
        <f>IFERROR(AP25/AP15,0)</f>
        <v>0.26756391456805867</v>
      </c>
      <c r="AQ26" s="22">
        <f>IFERROR(AQ25/AQ15,0)</f>
        <v>0.26756391456805867</v>
      </c>
      <c r="AR26" s="22">
        <f>IFERROR(AR25/AR15,0)</f>
        <v>0.26756391456805867</v>
      </c>
      <c r="AS26" s="22">
        <f>IFERROR(AS25/AS15,0)</f>
        <v>0.26756391456805867</v>
      </c>
      <c r="AT26" s="22">
        <f>IFERROR(AT25/AT15,0)</f>
        <v>0.26756391456805867</v>
      </c>
      <c r="AU26" s="22">
        <f>IFERROR(AU25/AU15,0)</f>
        <v>0.26756391456805867</v>
      </c>
    </row>
    <row r="27" spans="1:48">
      <c r="A27" s="3" t="s">
        <v>196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>
      <c r="A28" s="5" t="s">
        <v>234</v>
      </c>
      <c r="B28" s="12" t="s">
        <v>49</v>
      </c>
      <c r="C28" s="14" t="s">
        <v>235</v>
      </c>
      <c r="D28" s="21">
        <f>IF(D$5&lt;DATE(2026,10,1),'Inputs'!$E$41,IF(D$5&lt;DATE(2027,1,1),'Inputs'!$E$42,IF(D$5&lt;DATE(2027,6,1),'Inputs'!$E$43,IF(D$5&lt;DATE(2028,1,1),'Inputs'!$E$44,'Inputs'!$E$45))))</f>
        <v>1800.0</v>
      </c>
      <c r="E28" s="21">
        <f>IF(E$5&lt;DATE(2026,10,1),'Inputs'!$E$41,IF(E$5&lt;DATE(2027,1,1),'Inputs'!$E$42,IF(E$5&lt;DATE(2027,6,1),'Inputs'!$E$43,IF(E$5&lt;DATE(2028,1,1),'Inputs'!$E$44,'Inputs'!$E$45))))</f>
        <v>1800.0</v>
      </c>
      <c r="F28" s="21">
        <f>IF(F$5&lt;DATE(2026,10,1),'Inputs'!$E$41,IF(F$5&lt;DATE(2027,1,1),'Inputs'!$E$42,IF(F$5&lt;DATE(2027,6,1),'Inputs'!$E$43,IF(F$5&lt;DATE(2028,1,1),'Inputs'!$E$44,'Inputs'!$E$45))))</f>
        <v>1800.0</v>
      </c>
      <c r="G28" s="21">
        <f>IF(G$5&lt;DATE(2026,10,1),'Inputs'!$E$41,IF(G$5&lt;DATE(2027,1,1),'Inputs'!$E$42,IF(G$5&lt;DATE(2027,6,1),'Inputs'!$E$43,IF(G$5&lt;DATE(2028,1,1),'Inputs'!$E$44,'Inputs'!$E$45))))</f>
        <v>2600.0</v>
      </c>
      <c r="H28" s="21">
        <f>IF(H$5&lt;DATE(2026,10,1),'Inputs'!$E$41,IF(H$5&lt;DATE(2027,1,1),'Inputs'!$E$42,IF(H$5&lt;DATE(2027,6,1),'Inputs'!$E$43,IF(H$5&lt;DATE(2028,1,1),'Inputs'!$E$44,'Inputs'!$E$45))))</f>
        <v>2600.0</v>
      </c>
      <c r="I28" s="21">
        <f>IF(I$5&lt;DATE(2026,10,1),'Inputs'!$E$41,IF(I$5&lt;DATE(2027,1,1),'Inputs'!$E$42,IF(I$5&lt;DATE(2027,6,1),'Inputs'!$E$43,IF(I$5&lt;DATE(2028,1,1),'Inputs'!$E$44,'Inputs'!$E$45))))</f>
        <v>2600.0</v>
      </c>
      <c r="J28" s="21">
        <f>IF(J$5&lt;DATE(2026,10,1),'Inputs'!$E$41,IF(J$5&lt;DATE(2027,1,1),'Inputs'!$E$42,IF(J$5&lt;DATE(2027,6,1),'Inputs'!$E$43,IF(J$5&lt;DATE(2028,1,1),'Inputs'!$E$44,'Inputs'!$E$45))))</f>
        <v>2600.0</v>
      </c>
      <c r="K28" s="21">
        <f>IF(K$5&lt;DATE(2026,10,1),'Inputs'!$E$41,IF(K$5&lt;DATE(2027,1,1),'Inputs'!$E$42,IF(K$5&lt;DATE(2027,6,1),'Inputs'!$E$43,IF(K$5&lt;DATE(2028,1,1),'Inputs'!$E$44,'Inputs'!$E$45))))</f>
        <v>2600.0</v>
      </c>
      <c r="L28" s="21">
        <f>IF(L$5&lt;DATE(2026,10,1),'Inputs'!$E$41,IF(L$5&lt;DATE(2027,1,1),'Inputs'!$E$42,IF(L$5&lt;DATE(2027,6,1),'Inputs'!$E$43,IF(L$5&lt;DATE(2028,1,1),'Inputs'!$E$44,'Inputs'!$E$45))))</f>
        <v>3400.0</v>
      </c>
      <c r="M28" s="21">
        <f>IF(M$5&lt;DATE(2026,10,1),'Inputs'!$E$41,IF(M$5&lt;DATE(2027,1,1),'Inputs'!$E$42,IF(M$5&lt;DATE(2027,6,1),'Inputs'!$E$43,IF(M$5&lt;DATE(2028,1,1),'Inputs'!$E$44,'Inputs'!$E$45))))</f>
        <v>3400.0</v>
      </c>
      <c r="N28" s="21">
        <f>IF(N$5&lt;DATE(2026,10,1),'Inputs'!$E$41,IF(N$5&lt;DATE(2027,1,1),'Inputs'!$E$42,IF(N$5&lt;DATE(2027,6,1),'Inputs'!$E$43,IF(N$5&lt;DATE(2028,1,1),'Inputs'!$E$44,'Inputs'!$E$45))))</f>
        <v>3400.0</v>
      </c>
      <c r="O28" s="21">
        <f>IF(O$5&lt;DATE(2026,10,1),'Inputs'!$E$41,IF(O$5&lt;DATE(2027,1,1),'Inputs'!$E$42,IF(O$5&lt;DATE(2027,6,1),'Inputs'!$E$43,IF(O$5&lt;DATE(2028,1,1),'Inputs'!$E$44,'Inputs'!$E$45))))</f>
        <v>3400.0</v>
      </c>
      <c r="P28" s="21">
        <f>IF(P$5&lt;DATE(2026,10,1),'Inputs'!$E$41,IF(P$5&lt;DATE(2027,1,1),'Inputs'!$E$42,IF(P$5&lt;DATE(2027,6,1),'Inputs'!$E$43,IF(P$5&lt;DATE(2028,1,1),'Inputs'!$E$44,'Inputs'!$E$45))))</f>
        <v>3400.0</v>
      </c>
      <c r="Q28" s="21">
        <f>IF(Q$5&lt;DATE(2026,10,1),'Inputs'!$E$41,IF(Q$5&lt;DATE(2027,1,1),'Inputs'!$E$42,IF(Q$5&lt;DATE(2027,6,1),'Inputs'!$E$43,IF(Q$5&lt;DATE(2028,1,1),'Inputs'!$E$44,'Inputs'!$E$45))))</f>
        <v>3400.0</v>
      </c>
      <c r="R28" s="21">
        <f>IF(R$5&lt;DATE(2026,10,1),'Inputs'!$E$41,IF(R$5&lt;DATE(2027,1,1),'Inputs'!$E$42,IF(R$5&lt;DATE(2027,6,1),'Inputs'!$E$43,IF(R$5&lt;DATE(2028,1,1),'Inputs'!$E$44,'Inputs'!$E$45))))</f>
        <v>3400.0</v>
      </c>
      <c r="S28" s="21">
        <f>IF(S$5&lt;DATE(2026,10,1),'Inputs'!$E$41,IF(S$5&lt;DATE(2027,1,1),'Inputs'!$E$42,IF(S$5&lt;DATE(2027,6,1),'Inputs'!$E$43,IF(S$5&lt;DATE(2028,1,1),'Inputs'!$E$44,'Inputs'!$E$45))))</f>
        <v>3963.0</v>
      </c>
      <c r="T28" s="21">
        <f>IF(T$5&lt;DATE(2026,10,1),'Inputs'!$E$41,IF(T$5&lt;DATE(2027,1,1),'Inputs'!$E$42,IF(T$5&lt;DATE(2027,6,1),'Inputs'!$E$43,IF(T$5&lt;DATE(2028,1,1),'Inputs'!$E$44,'Inputs'!$E$45))))</f>
        <v>3963.0</v>
      </c>
      <c r="U28" s="21">
        <f>IF(U$5&lt;DATE(2026,10,1),'Inputs'!$E$41,IF(U$5&lt;DATE(2027,1,1),'Inputs'!$E$42,IF(U$5&lt;DATE(2027,6,1),'Inputs'!$E$43,IF(U$5&lt;DATE(2028,1,1),'Inputs'!$E$44,'Inputs'!$E$45))))</f>
        <v>3963.0</v>
      </c>
      <c r="V28" s="21">
        <f>IF(V$5&lt;DATE(2026,10,1),'Inputs'!$E$41,IF(V$5&lt;DATE(2027,1,1),'Inputs'!$E$42,IF(V$5&lt;DATE(2027,6,1),'Inputs'!$E$43,IF(V$5&lt;DATE(2028,1,1),'Inputs'!$E$44,'Inputs'!$E$45))))</f>
        <v>3963.0</v>
      </c>
      <c r="W28" s="21">
        <f>IF(W$5&lt;DATE(2026,10,1),'Inputs'!$E$41,IF(W$5&lt;DATE(2027,1,1),'Inputs'!$E$42,IF(W$5&lt;DATE(2027,6,1),'Inputs'!$E$43,IF(W$5&lt;DATE(2028,1,1),'Inputs'!$E$44,'Inputs'!$E$45))))</f>
        <v>3963.0</v>
      </c>
      <c r="X28" s="21">
        <f>IF(X$5&lt;DATE(2026,10,1),'Inputs'!$E$41,IF(X$5&lt;DATE(2027,1,1),'Inputs'!$E$42,IF(X$5&lt;DATE(2027,6,1),'Inputs'!$E$43,IF(X$5&lt;DATE(2028,1,1),'Inputs'!$E$44,'Inputs'!$E$45))))</f>
        <v>3963.0</v>
      </c>
      <c r="Y28" s="21">
        <f>IF(Y$5&lt;DATE(2026,10,1),'Inputs'!$E$41,IF(Y$5&lt;DATE(2027,1,1),'Inputs'!$E$42,IF(Y$5&lt;DATE(2027,6,1),'Inputs'!$E$43,IF(Y$5&lt;DATE(2028,1,1),'Inputs'!$E$44,'Inputs'!$E$45))))</f>
        <v>3963.0</v>
      </c>
      <c r="Z28" s="21">
        <f>IF(Z$5&lt;DATE(2026,10,1),'Inputs'!$E$41,IF(Z$5&lt;DATE(2027,1,1),'Inputs'!$E$42,IF(Z$5&lt;DATE(2027,6,1),'Inputs'!$E$43,IF(Z$5&lt;DATE(2028,1,1),'Inputs'!$E$44,'Inputs'!$E$45))))</f>
        <v>3963.0</v>
      </c>
      <c r="AA28" s="21">
        <f>IF(AA$5&lt;DATE(2026,10,1),'Inputs'!$E$41,IF(AA$5&lt;DATE(2027,1,1),'Inputs'!$E$42,IF(AA$5&lt;DATE(2027,6,1),'Inputs'!$E$43,IF(AA$5&lt;DATE(2028,1,1),'Inputs'!$E$44,'Inputs'!$E$45))))</f>
        <v>3963.0</v>
      </c>
      <c r="AB28" s="21">
        <f>IF(AB$5&lt;DATE(2026,10,1),'Inputs'!$E$41,IF(AB$5&lt;DATE(2027,1,1),'Inputs'!$E$42,IF(AB$5&lt;DATE(2027,6,1),'Inputs'!$E$43,IF(AB$5&lt;DATE(2028,1,1),'Inputs'!$E$44,'Inputs'!$E$45))))</f>
        <v>3963.0</v>
      </c>
      <c r="AC28" s="21">
        <f>IF(AC$5&lt;DATE(2026,10,1),'Inputs'!$E$41,IF(AC$5&lt;DATE(2027,1,1),'Inputs'!$E$42,IF(AC$5&lt;DATE(2027,6,1),'Inputs'!$E$43,IF(AC$5&lt;DATE(2028,1,1),'Inputs'!$E$44,'Inputs'!$E$45))))</f>
        <v>3963.0</v>
      </c>
      <c r="AD28" s="21">
        <f>IF(AD$5&lt;DATE(2026,10,1),'Inputs'!$E$41,IF(AD$5&lt;DATE(2027,1,1),'Inputs'!$E$42,IF(AD$5&lt;DATE(2027,6,1),'Inputs'!$E$43,IF(AD$5&lt;DATE(2028,1,1),'Inputs'!$E$44,'Inputs'!$E$45))))</f>
        <v>3963.0</v>
      </c>
      <c r="AE28" s="21">
        <f>IF(AE$5&lt;DATE(2026,10,1),'Inputs'!$E$41,IF(AE$5&lt;DATE(2027,1,1),'Inputs'!$E$42,IF(AE$5&lt;DATE(2027,6,1),'Inputs'!$E$43,IF(AE$5&lt;DATE(2028,1,1),'Inputs'!$E$44,'Inputs'!$E$45))))</f>
        <v>3963.0</v>
      </c>
      <c r="AF28" s="21">
        <f>IF(AF$5&lt;DATE(2026,10,1),'Inputs'!$E$41,IF(AF$5&lt;DATE(2027,1,1),'Inputs'!$E$42,IF(AF$5&lt;DATE(2027,6,1),'Inputs'!$E$43,IF(AF$5&lt;DATE(2028,1,1),'Inputs'!$E$44,'Inputs'!$E$45))))</f>
        <v>3963.0</v>
      </c>
      <c r="AG28" s="21">
        <f>IF(AG$5&lt;DATE(2026,10,1),'Inputs'!$E$41,IF(AG$5&lt;DATE(2027,1,1),'Inputs'!$E$42,IF(AG$5&lt;DATE(2027,6,1),'Inputs'!$E$43,IF(AG$5&lt;DATE(2028,1,1),'Inputs'!$E$44,'Inputs'!$E$45))))</f>
        <v>3963.0</v>
      </c>
      <c r="AH28" s="21">
        <f>IF(AH$5&lt;DATE(2026,10,1),'Inputs'!$E$41,IF(AH$5&lt;DATE(2027,1,1),'Inputs'!$E$42,IF(AH$5&lt;DATE(2027,6,1),'Inputs'!$E$43,IF(AH$5&lt;DATE(2028,1,1),'Inputs'!$E$44,'Inputs'!$E$45))))</f>
        <v>3963.0</v>
      </c>
      <c r="AI28" s="21">
        <f>IF(AI$5&lt;DATE(2026,10,1),'Inputs'!$E$41,IF(AI$5&lt;DATE(2027,1,1),'Inputs'!$E$42,IF(AI$5&lt;DATE(2027,6,1),'Inputs'!$E$43,IF(AI$5&lt;DATE(2028,1,1),'Inputs'!$E$44,'Inputs'!$E$45))))</f>
        <v>3963.0</v>
      </c>
      <c r="AJ28" s="21">
        <f>IF(AJ$5&lt;DATE(2026,10,1),'Inputs'!$E$41,IF(AJ$5&lt;DATE(2027,1,1),'Inputs'!$E$42,IF(AJ$5&lt;DATE(2027,6,1),'Inputs'!$E$43,IF(AJ$5&lt;DATE(2028,1,1),'Inputs'!$E$44,'Inputs'!$E$45))))</f>
        <v>3963.0</v>
      </c>
      <c r="AK28" s="21">
        <f>IF(AK$5&lt;DATE(2026,10,1),'Inputs'!$E$41,IF(AK$5&lt;DATE(2027,1,1),'Inputs'!$E$42,IF(AK$5&lt;DATE(2027,6,1),'Inputs'!$E$43,IF(AK$5&lt;DATE(2028,1,1),'Inputs'!$E$44,'Inputs'!$E$45))))</f>
        <v>3963.0</v>
      </c>
      <c r="AL28" s="21">
        <f>IF(AL$5&lt;DATE(2026,10,1),'Inputs'!$E$41,IF(AL$5&lt;DATE(2027,1,1),'Inputs'!$E$42,IF(AL$5&lt;DATE(2027,6,1),'Inputs'!$E$43,IF(AL$5&lt;DATE(2028,1,1),'Inputs'!$E$44,'Inputs'!$E$45))))</f>
        <v>3963.0</v>
      </c>
      <c r="AM28" s="21">
        <f>IF(AM$5&lt;DATE(2026,10,1),'Inputs'!$E$41,IF(AM$5&lt;DATE(2027,1,1),'Inputs'!$E$42,IF(AM$5&lt;DATE(2027,6,1),'Inputs'!$E$43,IF(AM$5&lt;DATE(2028,1,1),'Inputs'!$E$44,'Inputs'!$E$45))))</f>
        <v>3963.0</v>
      </c>
      <c r="AN28" s="21">
        <f>IF(AN$5&lt;DATE(2026,10,1),'Inputs'!$E$41,IF(AN$5&lt;DATE(2027,1,1),'Inputs'!$E$42,IF(AN$5&lt;DATE(2027,6,1),'Inputs'!$E$43,IF(AN$5&lt;DATE(2028,1,1),'Inputs'!$E$44,'Inputs'!$E$45))))</f>
        <v>3963.0</v>
      </c>
      <c r="AO28" s="21">
        <f>IF(AO$5&lt;DATE(2026,10,1),'Inputs'!$E$41,IF(AO$5&lt;DATE(2027,1,1),'Inputs'!$E$42,IF(AO$5&lt;DATE(2027,6,1),'Inputs'!$E$43,IF(AO$5&lt;DATE(2028,1,1),'Inputs'!$E$44,'Inputs'!$E$45))))</f>
        <v>3963.0</v>
      </c>
      <c r="AP28" s="21">
        <f>IF(AP$5&lt;DATE(2026,10,1),'Inputs'!$E$41,IF(AP$5&lt;DATE(2027,1,1),'Inputs'!$E$42,IF(AP$5&lt;DATE(2027,6,1),'Inputs'!$E$43,IF(AP$5&lt;DATE(2028,1,1),'Inputs'!$E$44,'Inputs'!$E$45))))</f>
        <v>3963.0</v>
      </c>
      <c r="AQ28" s="21">
        <f>IF(AQ$5&lt;DATE(2026,10,1),'Inputs'!$E$41,IF(AQ$5&lt;DATE(2027,1,1),'Inputs'!$E$42,IF(AQ$5&lt;DATE(2027,6,1),'Inputs'!$E$43,IF(AQ$5&lt;DATE(2028,1,1),'Inputs'!$E$44,'Inputs'!$E$45))))</f>
        <v>3963.0</v>
      </c>
      <c r="AR28" s="21">
        <f>IF(AR$5&lt;DATE(2026,10,1),'Inputs'!$E$41,IF(AR$5&lt;DATE(2027,1,1),'Inputs'!$E$42,IF(AR$5&lt;DATE(2027,6,1),'Inputs'!$E$43,IF(AR$5&lt;DATE(2028,1,1),'Inputs'!$E$44,'Inputs'!$E$45))))</f>
        <v>3963.0</v>
      </c>
      <c r="AS28" s="21">
        <f>IF(AS$5&lt;DATE(2026,10,1),'Inputs'!$E$41,IF(AS$5&lt;DATE(2027,1,1),'Inputs'!$E$42,IF(AS$5&lt;DATE(2027,6,1),'Inputs'!$E$43,IF(AS$5&lt;DATE(2028,1,1),'Inputs'!$E$44,'Inputs'!$E$45))))</f>
        <v>3963.0</v>
      </c>
      <c r="AT28" s="21">
        <f>IF(AT$5&lt;DATE(2026,10,1),'Inputs'!$E$41,IF(AT$5&lt;DATE(2027,1,1),'Inputs'!$E$42,IF(AT$5&lt;DATE(2027,6,1),'Inputs'!$E$43,IF(AT$5&lt;DATE(2028,1,1),'Inputs'!$E$44,'Inputs'!$E$45))))</f>
        <v>3963.0</v>
      </c>
      <c r="AU28" s="21">
        <f>IF(AU$5&lt;DATE(2026,10,1),'Inputs'!$E$41,IF(AU$5&lt;DATE(2027,1,1),'Inputs'!$E$42,IF(AU$5&lt;DATE(2027,6,1),'Inputs'!$E$43,IF(AU$5&lt;DATE(2028,1,1),'Inputs'!$E$44,'Inputs'!$E$45))))</f>
        <v>3963.0</v>
      </c>
    </row>
    <row r="29" spans="1:48">
      <c r="A29" s="5" t="s">
        <v>48</v>
      </c>
      <c r="B29" s="12" t="s">
        <v>49</v>
      </c>
      <c r="C29" s="14" t="s">
        <v>236</v>
      </c>
      <c r="D29" s="21">
        <f>IF(D$5&gt;='Inputs'!$E$46,'Inputs'!$E$8,0)</f>
        <v>0.0</v>
      </c>
      <c r="E29" s="21">
        <f>IF(E$5&gt;='Inputs'!$E$46,'Inputs'!$E$8,0)</f>
        <v>0.0</v>
      </c>
      <c r="F29" s="21">
        <f>IF(F$5&gt;='Inputs'!$E$46,'Inputs'!$E$8,0)</f>
        <v>0.0</v>
      </c>
      <c r="G29" s="21">
        <f>IF(G$5&gt;='Inputs'!$E$46,'Inputs'!$E$8,0)</f>
        <v>0.0</v>
      </c>
      <c r="H29" s="21">
        <f>IF(H$5&gt;='Inputs'!$E$46,'Inputs'!$E$8,0)</f>
        <v>0.0</v>
      </c>
      <c r="I29" s="21">
        <f>IF(I$5&gt;='Inputs'!$E$46,'Inputs'!$E$8,0)</f>
        <v>1000.0</v>
      </c>
      <c r="J29" s="21">
        <f>IF(J$5&gt;='Inputs'!$E$46,'Inputs'!$E$8,0)</f>
        <v>1000.0</v>
      </c>
      <c r="K29" s="21">
        <f>IF(K$5&gt;='Inputs'!$E$46,'Inputs'!$E$8,0)</f>
        <v>1000.0</v>
      </c>
      <c r="L29" s="21">
        <f>IF(L$5&gt;='Inputs'!$E$46,'Inputs'!$E$8,0)</f>
        <v>1000.0</v>
      </c>
      <c r="M29" s="21">
        <f>IF(M$5&gt;='Inputs'!$E$46,'Inputs'!$E$8,0)</f>
        <v>1000.0</v>
      </c>
      <c r="N29" s="21">
        <f>IF(N$5&gt;='Inputs'!$E$46,'Inputs'!$E$8,0)</f>
        <v>1000.0</v>
      </c>
      <c r="O29" s="21">
        <f>IF(O$5&gt;='Inputs'!$E$46,'Inputs'!$E$8,0)</f>
        <v>1000.0</v>
      </c>
      <c r="P29" s="21">
        <f>IF(P$5&gt;='Inputs'!$E$46,'Inputs'!$E$8,0)</f>
        <v>1000.0</v>
      </c>
      <c r="Q29" s="21">
        <f>IF(Q$5&gt;='Inputs'!$E$46,'Inputs'!$E$8,0)</f>
        <v>1000.0</v>
      </c>
      <c r="R29" s="21">
        <f>IF(R$5&gt;='Inputs'!$E$46,'Inputs'!$E$8,0)</f>
        <v>1000.0</v>
      </c>
      <c r="S29" s="21">
        <f>IF(S$5&gt;='Inputs'!$E$46,'Inputs'!$E$8,0)</f>
        <v>1000.0</v>
      </c>
      <c r="T29" s="21">
        <f>IF(T$5&gt;='Inputs'!$E$46,'Inputs'!$E$8,0)</f>
        <v>1000.0</v>
      </c>
      <c r="U29" s="21">
        <f>IF(U$5&gt;='Inputs'!$E$46,'Inputs'!$E$8,0)</f>
        <v>1000.0</v>
      </c>
      <c r="V29" s="21">
        <f>IF(V$5&gt;='Inputs'!$E$46,'Inputs'!$E$8,0)</f>
        <v>1000.0</v>
      </c>
      <c r="W29" s="21">
        <f>IF(W$5&gt;='Inputs'!$E$46,'Inputs'!$E$8,0)</f>
        <v>1000.0</v>
      </c>
      <c r="X29" s="21">
        <f>IF(X$5&gt;='Inputs'!$E$46,'Inputs'!$E$8,0)</f>
        <v>1000.0</v>
      </c>
      <c r="Y29" s="21">
        <f>IF(Y$5&gt;='Inputs'!$E$46,'Inputs'!$E$8,0)</f>
        <v>1000.0</v>
      </c>
      <c r="Z29" s="21">
        <f>IF(Z$5&gt;='Inputs'!$E$46,'Inputs'!$E$8,0)</f>
        <v>1000.0</v>
      </c>
      <c r="AA29" s="21">
        <f>IF(AA$5&gt;='Inputs'!$E$46,'Inputs'!$E$8,0)</f>
        <v>1000.0</v>
      </c>
      <c r="AB29" s="21">
        <f>IF(AB$5&gt;='Inputs'!$E$46,'Inputs'!$E$8,0)</f>
        <v>1000.0</v>
      </c>
      <c r="AC29" s="21">
        <f>IF(AC$5&gt;='Inputs'!$E$46,'Inputs'!$E$8,0)</f>
        <v>1000.0</v>
      </c>
      <c r="AD29" s="21">
        <f>IF(AD$5&gt;='Inputs'!$E$46,'Inputs'!$E$8,0)</f>
        <v>1000.0</v>
      </c>
      <c r="AE29" s="21">
        <f>IF(AE$5&gt;='Inputs'!$E$46,'Inputs'!$E$8,0)</f>
        <v>1000.0</v>
      </c>
      <c r="AF29" s="21">
        <f>IF(AF$5&gt;='Inputs'!$E$46,'Inputs'!$E$8,0)</f>
        <v>1000.0</v>
      </c>
      <c r="AG29" s="21">
        <f>IF(AG$5&gt;='Inputs'!$E$46,'Inputs'!$E$8,0)</f>
        <v>1000.0</v>
      </c>
      <c r="AH29" s="21">
        <f>IF(AH$5&gt;='Inputs'!$E$46,'Inputs'!$E$8,0)</f>
        <v>1000.0</v>
      </c>
      <c r="AI29" s="21">
        <f>IF(AI$5&gt;='Inputs'!$E$46,'Inputs'!$E$8,0)</f>
        <v>1000.0</v>
      </c>
      <c r="AJ29" s="21">
        <f>IF(AJ$5&gt;='Inputs'!$E$46,'Inputs'!$E$8,0)</f>
        <v>1000.0</v>
      </c>
      <c r="AK29" s="21">
        <f>IF(AK$5&gt;='Inputs'!$E$46,'Inputs'!$E$8,0)</f>
        <v>1000.0</v>
      </c>
      <c r="AL29" s="21">
        <f>IF(AL$5&gt;='Inputs'!$E$46,'Inputs'!$E$8,0)</f>
        <v>1000.0</v>
      </c>
      <c r="AM29" s="21">
        <f>IF(AM$5&gt;='Inputs'!$E$46,'Inputs'!$E$8,0)</f>
        <v>1000.0</v>
      </c>
      <c r="AN29" s="21">
        <f>IF(AN$5&gt;='Inputs'!$E$46,'Inputs'!$E$8,0)</f>
        <v>1000.0</v>
      </c>
      <c r="AO29" s="21">
        <f>IF(AO$5&gt;='Inputs'!$E$46,'Inputs'!$E$8,0)</f>
        <v>1000.0</v>
      </c>
      <c r="AP29" s="21">
        <f>IF(AP$5&gt;='Inputs'!$E$46,'Inputs'!$E$8,0)</f>
        <v>1000.0</v>
      </c>
      <c r="AQ29" s="21">
        <f>IF(AQ$5&gt;='Inputs'!$E$46,'Inputs'!$E$8,0)</f>
        <v>1000.0</v>
      </c>
      <c r="AR29" s="21">
        <f>IF(AR$5&gt;='Inputs'!$E$46,'Inputs'!$E$8,0)</f>
        <v>1000.0</v>
      </c>
      <c r="AS29" s="21">
        <f>IF(AS$5&gt;='Inputs'!$E$46,'Inputs'!$E$8,0)</f>
        <v>1000.0</v>
      </c>
      <c r="AT29" s="21">
        <f>IF(AT$5&gt;='Inputs'!$E$46,'Inputs'!$E$8,0)</f>
        <v>1000.0</v>
      </c>
      <c r="AU29" s="21">
        <f>IF(AU$5&gt;='Inputs'!$E$46,'Inputs'!$E$8,0)</f>
        <v>1000.0</v>
      </c>
    </row>
    <row r="30" spans="1:48">
      <c r="A30" s="19" t="s">
        <v>237</v>
      </c>
      <c r="B30" s="12" t="s">
        <v>49</v>
      </c>
      <c r="C30" s="14" t="s">
        <v>238</v>
      </c>
      <c r="D30" s="20">
        <f>SUM(D28:D29)</f>
        <v>1800.0</v>
      </c>
      <c r="E30" s="20">
        <f>SUM(E28:E29)</f>
        <v>1800.0</v>
      </c>
      <c r="F30" s="20">
        <f>SUM(F28:F29)</f>
        <v>1800.0</v>
      </c>
      <c r="G30" s="20">
        <f>SUM(G28:G29)</f>
        <v>2600.0</v>
      </c>
      <c r="H30" s="20">
        <f>SUM(H28:H29)</f>
        <v>2600.0</v>
      </c>
      <c r="I30" s="20">
        <f>SUM(I28:I29)</f>
        <v>3600.0</v>
      </c>
      <c r="J30" s="20">
        <f>SUM(J28:J29)</f>
        <v>3600.0</v>
      </c>
      <c r="K30" s="20">
        <f>SUM(K28:K29)</f>
        <v>3600.0</v>
      </c>
      <c r="L30" s="20">
        <f>SUM(L28:L29)</f>
        <v>4400.0</v>
      </c>
      <c r="M30" s="20">
        <f>SUM(M28:M29)</f>
        <v>4400.0</v>
      </c>
      <c r="N30" s="20">
        <f>SUM(N28:N29)</f>
        <v>4400.0</v>
      </c>
      <c r="O30" s="20">
        <f>SUM(O28:O29)</f>
        <v>4400.0</v>
      </c>
      <c r="P30" s="20">
        <f>SUM(P28:P29)</f>
        <v>4400.0</v>
      </c>
      <c r="Q30" s="20">
        <f>SUM(Q28:Q29)</f>
        <v>4400.0</v>
      </c>
      <c r="R30" s="20">
        <f>SUM(R28:R29)</f>
        <v>4400.0</v>
      </c>
      <c r="S30" s="20">
        <f>SUM(S28:S29)</f>
        <v>4963.0</v>
      </c>
      <c r="T30" s="20">
        <f>SUM(T28:T29)</f>
        <v>4963.0</v>
      </c>
      <c r="U30" s="20">
        <f>SUM(U28:U29)</f>
        <v>4963.0</v>
      </c>
      <c r="V30" s="20">
        <f>SUM(V28:V29)</f>
        <v>4963.0</v>
      </c>
      <c r="W30" s="20">
        <f>SUM(W28:W29)</f>
        <v>4963.0</v>
      </c>
      <c r="X30" s="20">
        <f>SUM(X28:X29)</f>
        <v>4963.0</v>
      </c>
      <c r="Y30" s="20">
        <f>SUM(Y28:Y29)</f>
        <v>4963.0</v>
      </c>
      <c r="Z30" s="20">
        <f>SUM(Z28:Z29)</f>
        <v>4963.0</v>
      </c>
      <c r="AA30" s="20">
        <f>SUM(AA28:AA29)</f>
        <v>4963.0</v>
      </c>
      <c r="AB30" s="20">
        <f>SUM(AB28:AB29)</f>
        <v>4963.0</v>
      </c>
      <c r="AC30" s="20">
        <f>SUM(AC28:AC29)</f>
        <v>4963.0</v>
      </c>
      <c r="AD30" s="20">
        <f>SUM(AD28:AD29)</f>
        <v>4963.0</v>
      </c>
      <c r="AE30" s="20">
        <f>SUM(AE28:AE29)</f>
        <v>4963.0</v>
      </c>
      <c r="AF30" s="20">
        <f>SUM(AF28:AF29)</f>
        <v>4963.0</v>
      </c>
      <c r="AG30" s="20">
        <f>SUM(AG28:AG29)</f>
        <v>4963.0</v>
      </c>
      <c r="AH30" s="20">
        <f>SUM(AH28:AH29)</f>
        <v>4963.0</v>
      </c>
      <c r="AI30" s="20">
        <f>SUM(AI28:AI29)</f>
        <v>4963.0</v>
      </c>
      <c r="AJ30" s="20">
        <f>SUM(AJ28:AJ29)</f>
        <v>4963.0</v>
      </c>
      <c r="AK30" s="20">
        <f>SUM(AK28:AK29)</f>
        <v>4963.0</v>
      </c>
      <c r="AL30" s="20">
        <f>SUM(AL28:AL29)</f>
        <v>4963.0</v>
      </c>
      <c r="AM30" s="20">
        <f>SUM(AM28:AM29)</f>
        <v>4963.0</v>
      </c>
      <c r="AN30" s="20">
        <f>SUM(AN28:AN29)</f>
        <v>4963.0</v>
      </c>
      <c r="AO30" s="20">
        <f>SUM(AO28:AO29)</f>
        <v>4963.0</v>
      </c>
      <c r="AP30" s="20">
        <f>SUM(AP28:AP29)</f>
        <v>4963.0</v>
      </c>
      <c r="AQ30" s="20">
        <f>SUM(AQ28:AQ29)</f>
        <v>4963.0</v>
      </c>
      <c r="AR30" s="20">
        <f>SUM(AR28:AR29)</f>
        <v>4963.0</v>
      </c>
      <c r="AS30" s="20">
        <f>SUM(AS28:AS29)</f>
        <v>4963.0</v>
      </c>
      <c r="AT30" s="20">
        <f>SUM(AT28:AT29)</f>
        <v>4963.0</v>
      </c>
      <c r="AU30" s="20">
        <f>SUM(AU28:AU29)</f>
        <v>4963.0</v>
      </c>
    </row>
    <row r="31" spans="1:48">
      <c r="A31" s="5" t="s">
        <v>239</v>
      </c>
      <c r="B31" s="12" t="s">
        <v>49</v>
      </c>
      <c r="C31" s="14" t="s">
        <v>240</v>
      </c>
      <c r="D31" s="21">
        <f>IF(D$5&gt;='Inputs'!$E$59,'Inputs'!$E$9*'Inputs'!$E$47,0)</f>
        <v>0.0</v>
      </c>
      <c r="E31" s="21">
        <f>IF(E$5&gt;='Inputs'!$E$59,'Inputs'!$E$9*'Inputs'!$E$47,0)</f>
        <v>0.0</v>
      </c>
      <c r="F31" s="21">
        <f>IF(F$5&gt;='Inputs'!$E$59,'Inputs'!$E$9*'Inputs'!$E$47,0)</f>
        <v>0.0</v>
      </c>
      <c r="G31" s="21">
        <f>IF(G$5&gt;='Inputs'!$E$59,'Inputs'!$E$9*'Inputs'!$E$47,0)</f>
        <v>5000.0</v>
      </c>
      <c r="H31" s="21">
        <f>IF(H$5&gt;='Inputs'!$E$59,'Inputs'!$E$9*'Inputs'!$E$47,0)</f>
        <v>5000.0</v>
      </c>
      <c r="I31" s="21">
        <f>IF(I$5&gt;='Inputs'!$E$59,'Inputs'!$E$9*'Inputs'!$E$47,0)</f>
        <v>5000.0</v>
      </c>
      <c r="J31" s="21">
        <f>IF(J$5&gt;='Inputs'!$E$59,'Inputs'!$E$9*'Inputs'!$E$47,0)</f>
        <v>5000.0</v>
      </c>
      <c r="K31" s="21">
        <f>IF(K$5&gt;='Inputs'!$E$59,'Inputs'!$E$9*'Inputs'!$E$47,0)</f>
        <v>5000.0</v>
      </c>
      <c r="L31" s="21">
        <f>IF(L$5&gt;='Inputs'!$E$59,'Inputs'!$E$9*'Inputs'!$E$47,0)</f>
        <v>5000.0</v>
      </c>
      <c r="M31" s="21">
        <f>IF(M$5&gt;='Inputs'!$E$59,'Inputs'!$E$9*'Inputs'!$E$47,0)</f>
        <v>5000.0</v>
      </c>
      <c r="N31" s="21">
        <f>IF(N$5&gt;='Inputs'!$E$59,'Inputs'!$E$9*'Inputs'!$E$47,0)</f>
        <v>5000.0</v>
      </c>
      <c r="O31" s="21">
        <f>IF(O$5&gt;='Inputs'!$E$59,'Inputs'!$E$9*'Inputs'!$E$47,0)</f>
        <v>5000.0</v>
      </c>
      <c r="P31" s="21">
        <f>IF(P$5&gt;='Inputs'!$E$59,'Inputs'!$E$9*'Inputs'!$E$47,0)</f>
        <v>5000.0</v>
      </c>
      <c r="Q31" s="21">
        <f>IF(Q$5&gt;='Inputs'!$E$59,'Inputs'!$E$9*'Inputs'!$E$47,0)</f>
        <v>5000.0</v>
      </c>
      <c r="R31" s="21">
        <f>IF(R$5&gt;='Inputs'!$E$59,'Inputs'!$E$9*'Inputs'!$E$47,0)</f>
        <v>5000.0</v>
      </c>
      <c r="S31" s="21">
        <f>IF(S$5&gt;='Inputs'!$E$59,'Inputs'!$E$9*'Inputs'!$E$47,0)</f>
        <v>5000.0</v>
      </c>
      <c r="T31" s="21">
        <f>IF(T$5&gt;='Inputs'!$E$59,'Inputs'!$E$9*'Inputs'!$E$47,0)</f>
        <v>5000.0</v>
      </c>
      <c r="U31" s="21">
        <f>IF(U$5&gt;='Inputs'!$E$59,'Inputs'!$E$9*'Inputs'!$E$47,0)</f>
        <v>5000.0</v>
      </c>
      <c r="V31" s="21">
        <f>IF(V$5&gt;='Inputs'!$E$59,'Inputs'!$E$9*'Inputs'!$E$47,0)</f>
        <v>5000.0</v>
      </c>
      <c r="W31" s="21">
        <f>IF(W$5&gt;='Inputs'!$E$59,'Inputs'!$E$9*'Inputs'!$E$47,0)</f>
        <v>5000.0</v>
      </c>
      <c r="X31" s="21">
        <f>IF(X$5&gt;='Inputs'!$E$59,'Inputs'!$E$9*'Inputs'!$E$47,0)</f>
        <v>5000.0</v>
      </c>
      <c r="Y31" s="21">
        <f>IF(Y$5&gt;='Inputs'!$E$59,'Inputs'!$E$9*'Inputs'!$E$47,0)</f>
        <v>5000.0</v>
      </c>
      <c r="Z31" s="21">
        <f>IF(Z$5&gt;='Inputs'!$E$59,'Inputs'!$E$9*'Inputs'!$E$47,0)</f>
        <v>5000.0</v>
      </c>
      <c r="AA31" s="21">
        <f>IF(AA$5&gt;='Inputs'!$E$59,'Inputs'!$E$9*'Inputs'!$E$47,0)</f>
        <v>5000.0</v>
      </c>
      <c r="AB31" s="21">
        <f>IF(AB$5&gt;='Inputs'!$E$59,'Inputs'!$E$9*'Inputs'!$E$47,0)</f>
        <v>5000.0</v>
      </c>
      <c r="AC31" s="21">
        <f>IF(AC$5&gt;='Inputs'!$E$59,'Inputs'!$E$9*'Inputs'!$E$47,0)</f>
        <v>5000.0</v>
      </c>
      <c r="AD31" s="21">
        <f>IF(AD$5&gt;='Inputs'!$E$59,'Inputs'!$E$9*'Inputs'!$E$47,0)</f>
        <v>5000.0</v>
      </c>
      <c r="AE31" s="21">
        <f>IF(AE$5&gt;='Inputs'!$E$59,'Inputs'!$E$9*'Inputs'!$E$47,0)</f>
        <v>5000.0</v>
      </c>
      <c r="AF31" s="21">
        <f>IF(AF$5&gt;='Inputs'!$E$59,'Inputs'!$E$9*'Inputs'!$E$47,0)</f>
        <v>5000.0</v>
      </c>
      <c r="AG31" s="21">
        <f>IF(AG$5&gt;='Inputs'!$E$59,'Inputs'!$E$9*'Inputs'!$E$47,0)</f>
        <v>5000.0</v>
      </c>
      <c r="AH31" s="21">
        <f>IF(AH$5&gt;='Inputs'!$E$59,'Inputs'!$E$9*'Inputs'!$E$47,0)</f>
        <v>5000.0</v>
      </c>
      <c r="AI31" s="21">
        <f>IF(AI$5&gt;='Inputs'!$E$59,'Inputs'!$E$9*'Inputs'!$E$47,0)</f>
        <v>5000.0</v>
      </c>
      <c r="AJ31" s="21">
        <f>IF(AJ$5&gt;='Inputs'!$E$59,'Inputs'!$E$9*'Inputs'!$E$47,0)</f>
        <v>5000.0</v>
      </c>
      <c r="AK31" s="21">
        <f>IF(AK$5&gt;='Inputs'!$E$59,'Inputs'!$E$9*'Inputs'!$E$47,0)</f>
        <v>5000.0</v>
      </c>
      <c r="AL31" s="21">
        <f>IF(AL$5&gt;='Inputs'!$E$59,'Inputs'!$E$9*'Inputs'!$E$47,0)</f>
        <v>5000.0</v>
      </c>
      <c r="AM31" s="21">
        <f>IF(AM$5&gt;='Inputs'!$E$59,'Inputs'!$E$9*'Inputs'!$E$47,0)</f>
        <v>5000.0</v>
      </c>
      <c r="AN31" s="21">
        <f>IF(AN$5&gt;='Inputs'!$E$59,'Inputs'!$E$9*'Inputs'!$E$47,0)</f>
        <v>5000.0</v>
      </c>
      <c r="AO31" s="21">
        <f>IF(AO$5&gt;='Inputs'!$E$59,'Inputs'!$E$9*'Inputs'!$E$47,0)</f>
        <v>5000.0</v>
      </c>
      <c r="AP31" s="21">
        <f>IF(AP$5&gt;='Inputs'!$E$59,'Inputs'!$E$9*'Inputs'!$E$47,0)</f>
        <v>5000.0</v>
      </c>
      <c r="AQ31" s="21">
        <f>IF(AQ$5&gt;='Inputs'!$E$59,'Inputs'!$E$9*'Inputs'!$E$47,0)</f>
        <v>5000.0</v>
      </c>
      <c r="AR31" s="21">
        <f>IF(AR$5&gt;='Inputs'!$E$59,'Inputs'!$E$9*'Inputs'!$E$47,0)</f>
        <v>5000.0</v>
      </c>
      <c r="AS31" s="21">
        <f>IF(AS$5&gt;='Inputs'!$E$59,'Inputs'!$E$9*'Inputs'!$E$47,0)</f>
        <v>5000.0</v>
      </c>
      <c r="AT31" s="21">
        <f>IF(AT$5&gt;='Inputs'!$E$59,'Inputs'!$E$9*'Inputs'!$E$47,0)</f>
        <v>5000.0</v>
      </c>
      <c r="AU31" s="21">
        <f>IF(AU$5&gt;='Inputs'!$E$59,'Inputs'!$E$9*'Inputs'!$E$47,0)</f>
        <v>5000.0</v>
      </c>
    </row>
    <row r="32" spans="1:48">
      <c r="A32" s="5" t="s">
        <v>241</v>
      </c>
      <c r="B32" s="12" t="s">
        <v>49</v>
      </c>
      <c r="C32" s="14" t="s">
        <v>242</v>
      </c>
      <c r="D32" s="21">
        <f>'Inputs'!$E$49</f>
        <v>150.0</v>
      </c>
      <c r="E32" s="21">
        <f>'Inputs'!$E$49</f>
        <v>150.0</v>
      </c>
      <c r="F32" s="21">
        <f>'Inputs'!$E$49</f>
        <v>150.0</v>
      </c>
      <c r="G32" s="21">
        <f>'Inputs'!$E$49</f>
        <v>150.0</v>
      </c>
      <c r="H32" s="21">
        <f>'Inputs'!$E$49</f>
        <v>150.0</v>
      </c>
      <c r="I32" s="21">
        <f>'Inputs'!$E$49</f>
        <v>150.0</v>
      </c>
      <c r="J32" s="21">
        <f>'Inputs'!$E$49</f>
        <v>150.0</v>
      </c>
      <c r="K32" s="21">
        <f>'Inputs'!$E$49</f>
        <v>150.0</v>
      </c>
      <c r="L32" s="21">
        <f>'Inputs'!$E$49</f>
        <v>150.0</v>
      </c>
      <c r="M32" s="21">
        <f>'Inputs'!$E$49</f>
        <v>150.0</v>
      </c>
      <c r="N32" s="21">
        <f>'Inputs'!$E$49</f>
        <v>150.0</v>
      </c>
      <c r="O32" s="21">
        <f>'Inputs'!$E$49</f>
        <v>150.0</v>
      </c>
      <c r="P32" s="21">
        <f>'Inputs'!$E$49</f>
        <v>150.0</v>
      </c>
      <c r="Q32" s="21">
        <f>'Inputs'!$E$49</f>
        <v>150.0</v>
      </c>
      <c r="R32" s="21">
        <f>'Inputs'!$E$49</f>
        <v>150.0</v>
      </c>
      <c r="S32" s="21">
        <f>'Inputs'!$E$49</f>
        <v>150.0</v>
      </c>
      <c r="T32" s="21">
        <f>'Inputs'!$E$49</f>
        <v>150.0</v>
      </c>
      <c r="U32" s="21">
        <f>'Inputs'!$E$49</f>
        <v>150.0</v>
      </c>
      <c r="V32" s="21">
        <f>'Inputs'!$E$49</f>
        <v>150.0</v>
      </c>
      <c r="W32" s="21">
        <f>'Inputs'!$E$49</f>
        <v>150.0</v>
      </c>
      <c r="X32" s="21">
        <f>'Inputs'!$E$49</f>
        <v>150.0</v>
      </c>
      <c r="Y32" s="21">
        <f>'Inputs'!$E$49</f>
        <v>150.0</v>
      </c>
      <c r="Z32" s="21">
        <f>'Inputs'!$E$49</f>
        <v>150.0</v>
      </c>
      <c r="AA32" s="21">
        <f>'Inputs'!$E$49</f>
        <v>150.0</v>
      </c>
      <c r="AB32" s="21">
        <f>'Inputs'!$E$49</f>
        <v>150.0</v>
      </c>
      <c r="AC32" s="21">
        <f>'Inputs'!$E$49</f>
        <v>150.0</v>
      </c>
      <c r="AD32" s="21">
        <f>'Inputs'!$E$49</f>
        <v>150.0</v>
      </c>
      <c r="AE32" s="21">
        <f>'Inputs'!$E$49</f>
        <v>150.0</v>
      </c>
      <c r="AF32" s="21">
        <f>'Inputs'!$E$49</f>
        <v>150.0</v>
      </c>
      <c r="AG32" s="21">
        <f>'Inputs'!$E$49</f>
        <v>150.0</v>
      </c>
      <c r="AH32" s="21">
        <f>'Inputs'!$E$49</f>
        <v>150.0</v>
      </c>
      <c r="AI32" s="21">
        <f>'Inputs'!$E$49</f>
        <v>150.0</v>
      </c>
      <c r="AJ32" s="21">
        <f>'Inputs'!$E$49</f>
        <v>150.0</v>
      </c>
      <c r="AK32" s="21">
        <f>'Inputs'!$E$49</f>
        <v>150.0</v>
      </c>
      <c r="AL32" s="21">
        <f>'Inputs'!$E$49</f>
        <v>150.0</v>
      </c>
      <c r="AM32" s="21">
        <f>'Inputs'!$E$49</f>
        <v>150.0</v>
      </c>
      <c r="AN32" s="21">
        <f>'Inputs'!$E$49</f>
        <v>150.0</v>
      </c>
      <c r="AO32" s="21">
        <f>'Inputs'!$E$49</f>
        <v>150.0</v>
      </c>
      <c r="AP32" s="21">
        <f>'Inputs'!$E$49</f>
        <v>150.0</v>
      </c>
      <c r="AQ32" s="21">
        <f>'Inputs'!$E$49</f>
        <v>150.0</v>
      </c>
      <c r="AR32" s="21">
        <f>'Inputs'!$E$49</f>
        <v>150.0</v>
      </c>
      <c r="AS32" s="21">
        <f>'Inputs'!$E$49</f>
        <v>150.0</v>
      </c>
      <c r="AT32" s="21">
        <f>'Inputs'!$E$49</f>
        <v>150.0</v>
      </c>
      <c r="AU32" s="21">
        <f>'Inputs'!$E$49</f>
        <v>150.0</v>
      </c>
    </row>
    <row r="33" spans="1:48">
      <c r="A33" s="19" t="s">
        <v>243</v>
      </c>
      <c r="B33" s="12" t="s">
        <v>49</v>
      </c>
      <c r="C33" s="14" t="s">
        <v>244</v>
      </c>
      <c r="D33" s="20">
        <f>SUM(D30,D31,D32)</f>
        <v>1950.0</v>
      </c>
      <c r="E33" s="20">
        <f>SUM(E30,E31,E32)</f>
        <v>1950.0</v>
      </c>
      <c r="F33" s="20">
        <f>SUM(F30,F31,F32)</f>
        <v>1950.0</v>
      </c>
      <c r="G33" s="20">
        <f>SUM(G30,G31,G32)</f>
        <v>7750.0</v>
      </c>
      <c r="H33" s="20">
        <f>SUM(H30,H31,H32)</f>
        <v>7750.0</v>
      </c>
      <c r="I33" s="20">
        <f>SUM(I30,I31,I32)</f>
        <v>8750.0</v>
      </c>
      <c r="J33" s="20">
        <f>SUM(J30,J31,J32)</f>
        <v>8750.0</v>
      </c>
      <c r="K33" s="20">
        <f>SUM(K30,K31,K32)</f>
        <v>8750.0</v>
      </c>
      <c r="L33" s="20">
        <f>SUM(L30,L31,L32)</f>
        <v>9550.0</v>
      </c>
      <c r="M33" s="20">
        <f>SUM(M30,M31,M32)</f>
        <v>9550.0</v>
      </c>
      <c r="N33" s="20">
        <f>SUM(N30,N31,N32)</f>
        <v>9550.0</v>
      </c>
      <c r="O33" s="20">
        <f>SUM(O30,O31,O32)</f>
        <v>9550.0</v>
      </c>
      <c r="P33" s="20">
        <f>SUM(P30,P31,P32)</f>
        <v>9550.0</v>
      </c>
      <c r="Q33" s="20">
        <f>SUM(Q30,Q31,Q32)</f>
        <v>9550.0</v>
      </c>
      <c r="R33" s="20">
        <f>SUM(R30,R31,R32)</f>
        <v>9550.0</v>
      </c>
      <c r="S33" s="20">
        <f>SUM(S30,S31,S32)</f>
        <v>10113.0</v>
      </c>
      <c r="T33" s="20">
        <f>SUM(T30,T31,T32)</f>
        <v>10113.0</v>
      </c>
      <c r="U33" s="20">
        <f>SUM(U30,U31,U32)</f>
        <v>10113.0</v>
      </c>
      <c r="V33" s="20">
        <f>SUM(V30,V31,V32)</f>
        <v>10113.0</v>
      </c>
      <c r="W33" s="20">
        <f>SUM(W30,W31,W32)</f>
        <v>10113.0</v>
      </c>
      <c r="X33" s="20">
        <f>SUM(X30,X31,X32)</f>
        <v>10113.0</v>
      </c>
      <c r="Y33" s="20">
        <f>SUM(Y30,Y31,Y32)</f>
        <v>10113.0</v>
      </c>
      <c r="Z33" s="20">
        <f>SUM(Z30,Z31,Z32)</f>
        <v>10113.0</v>
      </c>
      <c r="AA33" s="20">
        <f>SUM(AA30,AA31,AA32)</f>
        <v>10113.0</v>
      </c>
      <c r="AB33" s="20">
        <f>SUM(AB30,AB31,AB32)</f>
        <v>10113.0</v>
      </c>
      <c r="AC33" s="20">
        <f>SUM(AC30,AC31,AC32)</f>
        <v>10113.0</v>
      </c>
      <c r="AD33" s="20">
        <f>SUM(AD30,AD31,AD32)</f>
        <v>10113.0</v>
      </c>
      <c r="AE33" s="20">
        <f>SUM(AE30,AE31,AE32)</f>
        <v>10113.0</v>
      </c>
      <c r="AF33" s="20">
        <f>SUM(AF30,AF31,AF32)</f>
        <v>10113.0</v>
      </c>
      <c r="AG33" s="20">
        <f>SUM(AG30,AG31,AG32)</f>
        <v>10113.0</v>
      </c>
      <c r="AH33" s="20">
        <f>SUM(AH30,AH31,AH32)</f>
        <v>10113.0</v>
      </c>
      <c r="AI33" s="20">
        <f>SUM(AI30,AI31,AI32)</f>
        <v>10113.0</v>
      </c>
      <c r="AJ33" s="20">
        <f>SUM(AJ30,AJ31,AJ32)</f>
        <v>10113.0</v>
      </c>
      <c r="AK33" s="20">
        <f>SUM(AK30,AK31,AK32)</f>
        <v>10113.0</v>
      </c>
      <c r="AL33" s="20">
        <f>SUM(AL30,AL31,AL32)</f>
        <v>10113.0</v>
      </c>
      <c r="AM33" s="20">
        <f>SUM(AM30,AM31,AM32)</f>
        <v>10113.0</v>
      </c>
      <c r="AN33" s="20">
        <f>SUM(AN30,AN31,AN32)</f>
        <v>10113.0</v>
      </c>
      <c r="AO33" s="20">
        <f>SUM(AO30,AO31,AO32)</f>
        <v>10113.0</v>
      </c>
      <c r="AP33" s="20">
        <f>SUM(AP30,AP31,AP32)</f>
        <v>10113.0</v>
      </c>
      <c r="AQ33" s="20">
        <f>SUM(AQ30,AQ31,AQ32)</f>
        <v>10113.0</v>
      </c>
      <c r="AR33" s="20">
        <f>SUM(AR30,AR31,AR32)</f>
        <v>10113.0</v>
      </c>
      <c r="AS33" s="20">
        <f>SUM(AS30,AS31,AS32)</f>
        <v>10113.0</v>
      </c>
      <c r="AT33" s="20">
        <f>SUM(AT30,AT31,AT32)</f>
        <v>10113.0</v>
      </c>
      <c r="AU33" s="20">
        <f>SUM(AU30,AU31,AU32)</f>
        <v>10113.0</v>
      </c>
    </row>
    <row r="34" spans="1:48">
      <c r="A34" s="5" t="s">
        <v>245</v>
      </c>
      <c r="B34" s="12" t="s">
        <v>221</v>
      </c>
      <c r="C34" s="14" t="s">
        <v>246</v>
      </c>
      <c r="D34" s="22">
        <f>IFERROR(D33/D15,0)</f>
        <v>0.11829351593807973</v>
      </c>
      <c r="E34" s="22">
        <f>IFERROR(E33/E15,0)</f>
        <v>0.11779086530269031</v>
      </c>
      <c r="F34" s="22">
        <f>IFERROR(F33/F15,0)</f>
        <v>0.11728655327310229</v>
      </c>
      <c r="G34" s="22">
        <f>IFERROR(G33/G15,0)</f>
        <v>0.38465397723679084</v>
      </c>
      <c r="H34" s="22">
        <f>IFERROR(H33/H15,0)</f>
        <v>0.3832674013214229</v>
      </c>
      <c r="I34" s="22">
        <f>IFERROR(I33/I15,0)</f>
        <v>0.2796897232550092</v>
      </c>
      <c r="J34" s="22">
        <f>IFERROR(J33/J15,0)</f>
        <v>0.2428396680943492</v>
      </c>
      <c r="K34" s="22">
        <f>IFERROR(K33/K15,0)</f>
        <v>0.2146856730180447</v>
      </c>
      <c r="L34" s="22">
        <f>IFERROR(L33/L15,0)</f>
        <v>0.182961126959325</v>
      </c>
      <c r="M34" s="22">
        <f>IFERROR(M33/M15,0)</f>
        <v>0.1700375351154404</v>
      </c>
      <c r="N34" s="22">
        <f>IFERROR(N33/N15,0)</f>
        <v>0.15886009455436872</v>
      </c>
      <c r="O34" s="22">
        <f>IFERROR(O33/O15,0)</f>
        <v>0.15886009455436875</v>
      </c>
      <c r="P34" s="22">
        <f>IFERROR(P33/P15,0)</f>
        <v>0.15886009455436875</v>
      </c>
      <c r="Q34" s="22">
        <f>IFERROR(Q33/Q15,0)</f>
        <v>0.15886009455436875</v>
      </c>
      <c r="R34" s="22">
        <f>IFERROR(R33/R15,0)</f>
        <v>0.15886009455436875</v>
      </c>
      <c r="S34" s="22">
        <f>IFERROR(S33/S15,0)</f>
        <v>0.1531295824035703</v>
      </c>
      <c r="T34" s="22">
        <f>IFERROR(T33/T15,0)</f>
        <v>0.1531295824035703</v>
      </c>
      <c r="U34" s="22">
        <f>IFERROR(U33/U15,0)</f>
        <v>0.1531295824035703</v>
      </c>
      <c r="V34" s="22">
        <f>IFERROR(V33/V15,0)</f>
        <v>0.1531295824035703</v>
      </c>
      <c r="W34" s="22">
        <f>IFERROR(W33/W15,0)</f>
        <v>0.1531295824035703</v>
      </c>
      <c r="X34" s="22">
        <f>IFERROR(X33/X15,0)</f>
        <v>0.1531295824035703</v>
      </c>
      <c r="Y34" s="22">
        <f>IFERROR(Y33/Y15,0)</f>
        <v>0.1531295824035703</v>
      </c>
      <c r="Z34" s="22">
        <f>IFERROR(Z33/Z15,0)</f>
        <v>0.1531295824035703</v>
      </c>
      <c r="AA34" s="22">
        <f>IFERROR(AA33/AA15,0)</f>
        <v>0.1531295824035703</v>
      </c>
      <c r="AB34" s="22">
        <f>IFERROR(AB33/AB15,0)</f>
        <v>0.1531295824035703</v>
      </c>
      <c r="AC34" s="22">
        <f>IFERROR(AC33/AC15,0)</f>
        <v>0.1531295824035703</v>
      </c>
      <c r="AD34" s="22">
        <f>IFERROR(AD33/AD15,0)</f>
        <v>0.1531295824035703</v>
      </c>
      <c r="AE34" s="22">
        <f>IFERROR(AE33/AE15,0)</f>
        <v>0.1531295824035703</v>
      </c>
      <c r="AF34" s="22">
        <f>IFERROR(AF33/AF15,0)</f>
        <v>0.1531295824035703</v>
      </c>
      <c r="AG34" s="22">
        <f>IFERROR(AG33/AG15,0)</f>
        <v>0.1531295824035703</v>
      </c>
      <c r="AH34" s="22">
        <f>IFERROR(AH33/AH15,0)</f>
        <v>0.1531295824035703</v>
      </c>
      <c r="AI34" s="22">
        <f>IFERROR(AI33/AI15,0)</f>
        <v>0.1531295824035703</v>
      </c>
      <c r="AJ34" s="22">
        <f>IFERROR(AJ33/AJ15,0)</f>
        <v>0.1531295824035703</v>
      </c>
      <c r="AK34" s="22">
        <f>IFERROR(AK33/AK15,0)</f>
        <v>0.1531295824035703</v>
      </c>
      <c r="AL34" s="22">
        <f>IFERROR(AL33/AL15,0)</f>
        <v>0.1531295824035703</v>
      </c>
      <c r="AM34" s="22">
        <f>IFERROR(AM33/AM15,0)</f>
        <v>0.1531295824035703</v>
      </c>
      <c r="AN34" s="22">
        <f>IFERROR(AN33/AN15,0)</f>
        <v>0.1531295824035703</v>
      </c>
      <c r="AO34" s="22">
        <f>IFERROR(AO33/AO15,0)</f>
        <v>0.1531295824035703</v>
      </c>
      <c r="AP34" s="22">
        <f>IFERROR(AP33/AP15,0)</f>
        <v>0.1531295824035703</v>
      </c>
      <c r="AQ34" s="22">
        <f>IFERROR(AQ33/AQ15,0)</f>
        <v>0.1531295824035703</v>
      </c>
      <c r="AR34" s="22">
        <f>IFERROR(AR33/AR15,0)</f>
        <v>0.1531295824035703</v>
      </c>
      <c r="AS34" s="22">
        <f>IFERROR(AS33/AS15,0)</f>
        <v>0.1531295824035703</v>
      </c>
      <c r="AT34" s="22">
        <f>IFERROR(AT33/AT15,0)</f>
        <v>0.1531295824035703</v>
      </c>
      <c r="AU34" s="22">
        <f>IFERROR(AU33/AU15,0)</f>
        <v>0.1531295824035703</v>
      </c>
    </row>
    <row r="35" spans="1:48">
      <c r="A35" s="5" t="s">
        <v>247</v>
      </c>
      <c r="B35" s="12" t="s">
        <v>221</v>
      </c>
      <c r="C35" s="14" t="s">
        <v>248</v>
      </c>
      <c r="D35" s="22">
        <f>IFERROR(D30/D10,0)</f>
        <v>0.29342627338851923</v>
      </c>
      <c r="E35" s="22">
        <f>IFERROR(E30/E10,0)</f>
        <v>0.29009966244970276</v>
      </c>
      <c r="F35" s="22">
        <f>IFERROR(F30/F10,0)</f>
        <v>0.28680931265287474</v>
      </c>
      <c r="G35" s="22">
        <f>IFERROR(G30/G10,0)</f>
        <v>0.409579217605817</v>
      </c>
      <c r="H35" s="22">
        <f>IFERROR(H30/H10,0)</f>
        <v>0.4049295989741193</v>
      </c>
      <c r="I35" s="22">
        <f>IFERROR(I30/I10,0)</f>
        <v>0.20589467866440392</v>
      </c>
      <c r="J35" s="22">
        <f>IFERROR(J30/J10,0)</f>
        <v>0.16192871897979563</v>
      </c>
      <c r="K35" s="22">
        <f>IFERROR(K30/K10,0)</f>
        <v>0.13354472492862346</v>
      </c>
      <c r="L35" s="22">
        <f>IFERROR(L30/L10,0)</f>
        <v>0.11459264379906078</v>
      </c>
      <c r="M35" s="22">
        <f>IFERROR(M30/M10,0)</f>
        <v>0.10386159816985038</v>
      </c>
      <c r="N35" s="22">
        <f>IFERROR(N30/N10,0)</f>
        <v>0.09499999999999997</v>
      </c>
      <c r="O35" s="22">
        <f>IFERROR(O30/O10,0)</f>
        <v>0.09499999999999999</v>
      </c>
      <c r="P35" s="22">
        <f>IFERROR(P30/P10,0)</f>
        <v>0.09499999999999999</v>
      </c>
      <c r="Q35" s="22">
        <f>IFERROR(Q30/Q10,0)</f>
        <v>0.09499999999999999</v>
      </c>
      <c r="R35" s="22">
        <f>IFERROR(R30/R10,0)</f>
        <v>0.09499999999999999</v>
      </c>
      <c r="S35" s="22">
        <f>IFERROR(S30/S10,0)</f>
        <v>0.09500000000000001</v>
      </c>
      <c r="T35" s="22">
        <f>IFERROR(T30/T10,0)</f>
        <v>0.095</v>
      </c>
      <c r="U35" s="22">
        <f>IFERROR(U30/U10,0)</f>
        <v>0.095</v>
      </c>
      <c r="V35" s="22">
        <f>IFERROR(V30/V10,0)</f>
        <v>0.095</v>
      </c>
      <c r="W35" s="22">
        <f>IFERROR(W30/W10,0)</f>
        <v>0.095</v>
      </c>
      <c r="X35" s="22">
        <f>IFERROR(X30/X10,0)</f>
        <v>0.09499999999999999</v>
      </c>
      <c r="Y35" s="22">
        <f>IFERROR(Y30/Y10,0)</f>
        <v>0.095</v>
      </c>
      <c r="Z35" s="22">
        <f>IFERROR(Z30/Z10,0)</f>
        <v>0.095</v>
      </c>
      <c r="AA35" s="22">
        <f>IFERROR(AA30/AA10,0)</f>
        <v>0.095</v>
      </c>
      <c r="AB35" s="22">
        <f>IFERROR(AB30/AB10,0)</f>
        <v>0.095</v>
      </c>
      <c r="AC35" s="22">
        <f>IFERROR(AC30/AC10,0)</f>
        <v>0.095</v>
      </c>
      <c r="AD35" s="22">
        <f>IFERROR(AD30/AD10,0)</f>
        <v>0.095</v>
      </c>
      <c r="AE35" s="22">
        <f>IFERROR(AE30/AE10,0)</f>
        <v>0.095</v>
      </c>
      <c r="AF35" s="22">
        <f>IFERROR(AF30/AF10,0)</f>
        <v>0.095</v>
      </c>
      <c r="AG35" s="22">
        <f>IFERROR(AG30/AG10,0)</f>
        <v>0.09500000000000001</v>
      </c>
      <c r="AH35" s="22">
        <f>IFERROR(AH30/AH10,0)</f>
        <v>0.095</v>
      </c>
      <c r="AI35" s="22">
        <f>IFERROR(AI30/AI10,0)</f>
        <v>0.09499999999999999</v>
      </c>
      <c r="AJ35" s="22">
        <f>IFERROR(AJ30/AJ10,0)</f>
        <v>0.095</v>
      </c>
      <c r="AK35" s="22">
        <f>IFERROR(AK30/AK10,0)</f>
        <v>0.095</v>
      </c>
      <c r="AL35" s="22">
        <f>IFERROR(AL30/AL10,0)</f>
        <v>0.095</v>
      </c>
      <c r="AM35" s="22">
        <f>IFERROR(AM30/AM10,0)</f>
        <v>0.095</v>
      </c>
      <c r="AN35" s="22">
        <f>IFERROR(AN30/AN10,0)</f>
        <v>0.095</v>
      </c>
      <c r="AO35" s="22">
        <f>IFERROR(AO30/AO10,0)</f>
        <v>0.095</v>
      </c>
      <c r="AP35" s="22">
        <f>IFERROR(AP30/AP10,0)</f>
        <v>0.095</v>
      </c>
      <c r="AQ35" s="22">
        <f>IFERROR(AQ30/AQ10,0)</f>
        <v>0.095</v>
      </c>
      <c r="AR35" s="22">
        <f>IFERROR(AR30/AR10,0)</f>
        <v>0.095</v>
      </c>
      <c r="AS35" s="22">
        <f>IFERROR(AS30/AS10,0)</f>
        <v>0.09499999999999999</v>
      </c>
      <c r="AT35" s="22">
        <f>IFERROR(AT30/AT10,0)</f>
        <v>0.095</v>
      </c>
      <c r="AU35" s="22">
        <f>IFERROR(AU30/AU10,0)</f>
        <v>0.095</v>
      </c>
    </row>
    <row r="36" spans="1:48">
      <c r="A36" s="5" t="s">
        <v>249</v>
      </c>
      <c r="B36" s="12" t="s">
        <v>49</v>
      </c>
      <c r="C36" s="14" t="s">
        <v>250</v>
      </c>
      <c r="D36" s="21">
        <f>D30/'Inputs'!$E$24</f>
        <v>18947.36842105263</v>
      </c>
      <c r="E36" s="21">
        <f>E30/'Inputs'!$E$24</f>
        <v>18947.36842105263</v>
      </c>
      <c r="F36" s="21">
        <f>F30/'Inputs'!$E$24</f>
        <v>18947.36842105263</v>
      </c>
      <c r="G36" s="21">
        <f>G30/'Inputs'!$E$24</f>
        <v>27368.42105263158</v>
      </c>
      <c r="H36" s="21">
        <f>H30/'Inputs'!$E$24</f>
        <v>27368.42105263158</v>
      </c>
      <c r="I36" s="21">
        <f>I30/'Inputs'!$E$24</f>
        <v>37894.73684210526</v>
      </c>
      <c r="J36" s="21">
        <f>J30/'Inputs'!$E$24</f>
        <v>37894.73684210526</v>
      </c>
      <c r="K36" s="21">
        <f>K30/'Inputs'!$E$24</f>
        <v>37894.73684210526</v>
      </c>
      <c r="L36" s="21">
        <f>L30/'Inputs'!$E$24</f>
        <v>46315.78947368421</v>
      </c>
      <c r="M36" s="21">
        <f>M30/'Inputs'!$E$24</f>
        <v>46315.78947368421</v>
      </c>
      <c r="N36" s="21">
        <f>N30/'Inputs'!$E$24</f>
        <v>46315.78947368421</v>
      </c>
      <c r="O36" s="21">
        <f>O30/'Inputs'!$E$24</f>
        <v>46315.78947368421</v>
      </c>
      <c r="P36" s="21">
        <f>P30/'Inputs'!$E$24</f>
        <v>46315.78947368421</v>
      </c>
      <c r="Q36" s="21">
        <f>Q30/'Inputs'!$E$24</f>
        <v>46315.78947368421</v>
      </c>
      <c r="R36" s="21">
        <f>R30/'Inputs'!$E$24</f>
        <v>46315.78947368421</v>
      </c>
      <c r="S36" s="21">
        <f>S30/'Inputs'!$E$24</f>
        <v>52242.10526315789</v>
      </c>
      <c r="T36" s="21">
        <f>T30/'Inputs'!$E$24</f>
        <v>52242.10526315789</v>
      </c>
      <c r="U36" s="21">
        <f>U30/'Inputs'!$E$24</f>
        <v>52242.10526315789</v>
      </c>
      <c r="V36" s="21">
        <f>V30/'Inputs'!$E$24</f>
        <v>52242.10526315789</v>
      </c>
      <c r="W36" s="21">
        <f>W30/'Inputs'!$E$24</f>
        <v>52242.10526315789</v>
      </c>
      <c r="X36" s="21">
        <f>X30/'Inputs'!$E$24</f>
        <v>52242.10526315789</v>
      </c>
      <c r="Y36" s="21">
        <f>Y30/'Inputs'!$E$24</f>
        <v>52242.10526315789</v>
      </c>
      <c r="Z36" s="21">
        <f>Z30/'Inputs'!$E$24</f>
        <v>52242.10526315789</v>
      </c>
      <c r="AA36" s="21">
        <f>AA30/'Inputs'!$E$24</f>
        <v>52242.10526315789</v>
      </c>
      <c r="AB36" s="21">
        <f>AB30/'Inputs'!$E$24</f>
        <v>52242.10526315789</v>
      </c>
      <c r="AC36" s="21">
        <f>AC30/'Inputs'!$E$24</f>
        <v>52242.10526315789</v>
      </c>
      <c r="AD36" s="21">
        <f>AD30/'Inputs'!$E$24</f>
        <v>52242.10526315789</v>
      </c>
      <c r="AE36" s="21">
        <f>AE30/'Inputs'!$E$24</f>
        <v>52242.10526315789</v>
      </c>
      <c r="AF36" s="21">
        <f>AF30/'Inputs'!$E$24</f>
        <v>52242.10526315789</v>
      </c>
      <c r="AG36" s="21">
        <f>AG30/'Inputs'!$E$24</f>
        <v>52242.10526315789</v>
      </c>
      <c r="AH36" s="21">
        <f>AH30/'Inputs'!$E$24</f>
        <v>52242.10526315789</v>
      </c>
      <c r="AI36" s="21">
        <f>AI30/'Inputs'!$E$24</f>
        <v>52242.10526315789</v>
      </c>
      <c r="AJ36" s="21">
        <f>AJ30/'Inputs'!$E$24</f>
        <v>52242.10526315789</v>
      </c>
      <c r="AK36" s="21">
        <f>AK30/'Inputs'!$E$24</f>
        <v>52242.10526315789</v>
      </c>
      <c r="AL36" s="21">
        <f>AL30/'Inputs'!$E$24</f>
        <v>52242.10526315789</v>
      </c>
      <c r="AM36" s="21">
        <f>AM30/'Inputs'!$E$24</f>
        <v>52242.10526315789</v>
      </c>
      <c r="AN36" s="21">
        <f>AN30/'Inputs'!$E$24</f>
        <v>52242.10526315789</v>
      </c>
      <c r="AO36" s="21">
        <f>AO30/'Inputs'!$E$24</f>
        <v>52242.10526315789</v>
      </c>
      <c r="AP36" s="21">
        <f>AP30/'Inputs'!$E$24</f>
        <v>52242.10526315789</v>
      </c>
      <c r="AQ36" s="21">
        <f>AQ30/'Inputs'!$E$24</f>
        <v>52242.10526315789</v>
      </c>
      <c r="AR36" s="21">
        <f>AR30/'Inputs'!$E$24</f>
        <v>52242.10526315789</v>
      </c>
      <c r="AS36" s="21">
        <f>AS30/'Inputs'!$E$24</f>
        <v>52242.10526315789</v>
      </c>
      <c r="AT36" s="21">
        <f>AT30/'Inputs'!$E$24</f>
        <v>52242.10526315789</v>
      </c>
      <c r="AU36" s="21">
        <f>AU30/'Inputs'!$E$24</f>
        <v>52242.10526315789</v>
      </c>
    </row>
    <row r="37" spans="1:48">
      <c r="A37" s="5" t="s">
        <v>251</v>
      </c>
      <c r="B37" s="12" t="s">
        <v>49</v>
      </c>
      <c r="C37" s="14" t="s">
        <v>252</v>
      </c>
      <c r="D37" s="21">
        <f>D36-D10</f>
        <v>12812.94842105263</v>
      </c>
      <c r="E37" s="21">
        <f>E36-E10</f>
        <v>12742.604221052628</v>
      </c>
      <c r="F37" s="21">
        <f>F36-F10</f>
        <v>12671.421579052629</v>
      </c>
      <c r="G37" s="21">
        <f>G36-G10</f>
        <v>21020.44271721158</v>
      </c>
      <c r="H37" s="21">
        <f>H36-H10</f>
        <v>20947.55182848238</v>
      </c>
      <c r="I37" s="21">
        <f>I36-I10</f>
        <v>20410.069324943313</v>
      </c>
      <c r="J37" s="21">
        <f>J36-J10</f>
        <v>15662.732397920263</v>
      </c>
      <c r="K37" s="21">
        <f>K36-K10</f>
        <v>10937.47588010084</v>
      </c>
      <c r="L37" s="21">
        <f>L36-L10</f>
        <v>7918.909411160836</v>
      </c>
      <c r="M37" s="21">
        <f>M36-M10</f>
        <v>3951.7196198346064</v>
      </c>
      <c r="N37" s="21">
        <f>N36-N10</f>
        <v>-7.275957614183426e-12</v>
      </c>
      <c r="O37" s="21">
        <f>O36-O10</f>
        <v>0.0</v>
      </c>
      <c r="P37" s="21">
        <f>P36-P10</f>
        <v>0.0</v>
      </c>
      <c r="Q37" s="21">
        <f>Q36-Q10</f>
        <v>0.0</v>
      </c>
      <c r="R37" s="21">
        <f>R36-R10</f>
        <v>0.0</v>
      </c>
      <c r="S37" s="21">
        <f>S36-S10</f>
        <v>7.275957614183426e-12</v>
      </c>
      <c r="T37" s="21">
        <f>T36-T10</f>
        <v>0.0</v>
      </c>
      <c r="U37" s="21">
        <f>U36-U10</f>
        <v>0.0</v>
      </c>
      <c r="V37" s="21">
        <f>V36-V10</f>
        <v>0.0</v>
      </c>
      <c r="W37" s="21">
        <f>W36-W10</f>
        <v>0.0</v>
      </c>
      <c r="X37" s="21">
        <f>X36-X10</f>
        <v>-7.275957614183426e-12</v>
      </c>
      <c r="Y37" s="21">
        <f>Y36-Y10</f>
        <v>0.0</v>
      </c>
      <c r="Z37" s="21">
        <f>Z36-Z10</f>
        <v>0.0</v>
      </c>
      <c r="AA37" s="21">
        <f>AA36-AA10</f>
        <v>0.0</v>
      </c>
      <c r="AB37" s="21">
        <f>AB36-AB10</f>
        <v>0.0</v>
      </c>
      <c r="AC37" s="21">
        <f>AC36-AC10</f>
        <v>0.0</v>
      </c>
      <c r="AD37" s="21">
        <f>AD36-AD10</f>
        <v>0.0</v>
      </c>
      <c r="AE37" s="21">
        <f>AE36-AE10</f>
        <v>0.0</v>
      </c>
      <c r="AF37" s="21">
        <f>AF36-AF10</f>
        <v>0.0</v>
      </c>
      <c r="AG37" s="21">
        <f>AG36-AG10</f>
        <v>7.275957614183426e-12</v>
      </c>
      <c r="AH37" s="21">
        <f>AH36-AH10</f>
        <v>0.0</v>
      </c>
      <c r="AI37" s="21">
        <f>AI36-AI10</f>
        <v>-7.275957614183426e-12</v>
      </c>
      <c r="AJ37" s="21">
        <f>AJ36-AJ10</f>
        <v>0.0</v>
      </c>
      <c r="AK37" s="21">
        <f>AK36-AK10</f>
        <v>0.0</v>
      </c>
      <c r="AL37" s="21">
        <f>AL36-AL10</f>
        <v>0.0</v>
      </c>
      <c r="AM37" s="21">
        <f>AM36-AM10</f>
        <v>0.0</v>
      </c>
      <c r="AN37" s="21">
        <f>AN36-AN10</f>
        <v>0.0</v>
      </c>
      <c r="AO37" s="21">
        <f>AO36-AO10</f>
        <v>0.0</v>
      </c>
      <c r="AP37" s="21">
        <f>AP36-AP10</f>
        <v>0.0</v>
      </c>
      <c r="AQ37" s="21">
        <f>AQ36-AQ10</f>
        <v>0.0</v>
      </c>
      <c r="AR37" s="21">
        <f>AR36-AR10</f>
        <v>0.0</v>
      </c>
      <c r="AS37" s="21">
        <f>AS36-AS10</f>
        <v>-7.275957614183426e-12</v>
      </c>
      <c r="AT37" s="21">
        <f>AT36-AT10</f>
        <v>0.0</v>
      </c>
      <c r="AU37" s="21">
        <f>AU36-AU10</f>
        <v>0.0</v>
      </c>
    </row>
    <row r="38" spans="1:48">
      <c r="A38" s="5" t="s">
        <v>253</v>
      </c>
      <c r="B38" s="12" t="s">
        <v>254</v>
      </c>
      <c r="C38" s="14" t="s">
        <v>255</v>
      </c>
      <c r="D38" s="23">
        <f>MAX(0,D36-D7-D8)/('Inputs'!$E$25*'Inputs'!$E$26)</f>
        <v>29.12033732057416</v>
      </c>
      <c r="E38" s="23">
        <f>MAX(0,E36-E7-E8)/('Inputs'!$E$25*'Inputs'!$E$26)</f>
        <v>28.960464138755974</v>
      </c>
      <c r="F38" s="23">
        <f>MAX(0,F36-F7-F8)/('Inputs'!$E$25*'Inputs'!$E$26)</f>
        <v>28.798685406937793</v>
      </c>
      <c r="G38" s="23">
        <f>MAX(0,G36-G7-G8)/('Inputs'!$E$25*'Inputs'!$E$26)</f>
        <v>47.77373344820814</v>
      </c>
      <c r="H38" s="23">
        <f>MAX(0,H36-H7-H8)/('Inputs'!$E$25*'Inputs'!$E$26)</f>
        <v>47.60807233745995</v>
      </c>
      <c r="I38" s="23">
        <f>MAX(0,I36-I7-I8)/('Inputs'!$E$25*'Inputs'!$E$26)</f>
        <v>71.36387875854305</v>
      </c>
      <c r="J38" s="23">
        <f>MAX(0,J36-J7-J8)/('Inputs'!$E$25*'Inputs'!$E$26)</f>
        <v>71.19423817236482</v>
      </c>
      <c r="K38" s="23">
        <f>MAX(0,K36-K7-K8)/('Inputs'!$E$25*'Inputs'!$E$26)</f>
        <v>71.02257065000542</v>
      </c>
      <c r="L38" s="23">
        <f>MAX(0,L36-L7-L8)/('Inputs'!$E$25*'Inputs'!$E$26)</f>
        <v>89.98760694500955</v>
      </c>
      <c r="M38" s="23">
        <f>MAX(0,M36-M7-M8)/('Inputs'!$E$25*'Inputs'!$E$26)</f>
        <v>89.81180954169555</v>
      </c>
      <c r="N38" s="23">
        <f>MAX(0,N36-N7-N8)/('Inputs'!$E$25*'Inputs'!$E$26)</f>
        <v>89.63390853594117</v>
      </c>
      <c r="O38" s="23">
        <f>MAX(0,O36-O7-O8)/('Inputs'!$E$25*'Inputs'!$E$26)</f>
        <v>89.45387770729587</v>
      </c>
      <c r="P38" s="23">
        <f>MAX(0,P36-P7-P8)/('Inputs'!$E$25*'Inputs'!$E$26)</f>
        <v>89.27169049533828</v>
      </c>
      <c r="Q38" s="23">
        <f>MAX(0,Q36-Q7-Q8)/('Inputs'!$E$25*'Inputs'!$E$26)</f>
        <v>89.08731999510985</v>
      </c>
      <c r="R38" s="23">
        <f>MAX(0,R36-R7-R8)/('Inputs'!$E$25*'Inputs'!$E$26)</f>
        <v>88.90073895248561</v>
      </c>
      <c r="S38" s="23">
        <f>MAX(0,S36-S7-S8)/('Inputs'!$E$25*'Inputs'!$E$26)</f>
        <v>102.18081928101181</v>
      </c>
      <c r="T38" s="23">
        <f>MAX(0,T36-T7-T8)/('Inputs'!$E$25*'Inputs'!$E$26)</f>
        <v>101.98973397102314</v>
      </c>
      <c r="U38" s="23">
        <f>MAX(0,U36-U7-U8)/('Inputs'!$E$25*'Inputs'!$E$26)</f>
        <v>101.79635421400505</v>
      </c>
      <c r="V38" s="23">
        <f>MAX(0,V36-V7-V8)/('Inputs'!$E$25*'Inputs'!$E$26)</f>
        <v>101.60065131157828</v>
      </c>
      <c r="W38" s="23">
        <f>MAX(0,W36-W7-W8)/('Inputs'!$E$25*'Inputs'!$E$26)</f>
        <v>101.40259619207117</v>
      </c>
      <c r="X38" s="23">
        <f>MAX(0,X36-X7-X8)/('Inputs'!$E$25*'Inputs'!$E$26)</f>
        <v>101.20215940549213</v>
      </c>
      <c r="Y38" s="23">
        <f>MAX(0,Y36-Y7-Y8)/('Inputs'!$E$25*'Inputs'!$E$26)</f>
        <v>100.99931111843219</v>
      </c>
      <c r="Z38" s="23">
        <f>MAX(0,Z36-Z7-Z8)/('Inputs'!$E$25*'Inputs'!$E$26)</f>
        <v>100.79402110889738</v>
      </c>
      <c r="AA38" s="23">
        <f>MAX(0,AA36-AA7-AA8)/('Inputs'!$E$25*'Inputs'!$E$26)</f>
        <v>100.58625876106889</v>
      </c>
      <c r="AB38" s="23">
        <f>MAX(0,AB36-AB7-AB8)/('Inputs'!$E$25*'Inputs'!$E$26)</f>
        <v>100.3759930599908</v>
      </c>
      <c r="AC38" s="23">
        <f>MAX(0,AC36-AC7-AC8)/('Inputs'!$E$25*'Inputs'!$E$26)</f>
        <v>100.16319258618404</v>
      </c>
      <c r="AD38" s="23">
        <f>MAX(0,AD36-AD7-AD8)/('Inputs'!$E$25*'Inputs'!$E$26)</f>
        <v>99.94782551018552</v>
      </c>
      <c r="AE38" s="23">
        <f>MAX(0,AE36-AE7-AE8)/('Inputs'!$E$25*'Inputs'!$E$26)</f>
        <v>99.72985958701157</v>
      </c>
      <c r="AF38" s="23">
        <f>MAX(0,AF36-AF7-AF8)/('Inputs'!$E$25*'Inputs'!$E$26)</f>
        <v>99.50926215054419</v>
      </c>
      <c r="AG38" s="23">
        <f>MAX(0,AG36-AG7-AG8)/('Inputs'!$E$25*'Inputs'!$E$26)</f>
        <v>99.28600010783948</v>
      </c>
      <c r="AH38" s="23">
        <f>MAX(0,AH36-AH7-AH8)/('Inputs'!$E$25*'Inputs'!$E$26)</f>
        <v>99.06003993335706</v>
      </c>
      <c r="AI38" s="23">
        <f>MAX(0,AI36-AI7-AI8)/('Inputs'!$E$25*'Inputs'!$E$26)</f>
        <v>98.83134766310883</v>
      </c>
      <c r="AJ38" s="23">
        <f>MAX(0,AJ36-AJ7-AJ8)/('Inputs'!$E$25*'Inputs'!$E$26)</f>
        <v>98.59988888872681</v>
      </c>
      <c r="AK38" s="23">
        <f>MAX(0,AK36-AK7-AK8)/('Inputs'!$E$25*'Inputs'!$E$26)</f>
        <v>98.36562875144823</v>
      </c>
      <c r="AL38" s="23">
        <f>MAX(0,AL36-AL7-AL8)/('Inputs'!$E$25*'Inputs'!$E$26)</f>
        <v>98.1285319360168</v>
      </c>
      <c r="AM38" s="23">
        <f>MAX(0,AM36-AM7-AM8)/('Inputs'!$E$25*'Inputs'!$E$26)</f>
        <v>97.88856266449933</v>
      </c>
      <c r="AN38" s="23">
        <f>MAX(0,AN36-AN7-AN8)/('Inputs'!$E$25*'Inputs'!$E$26)</f>
        <v>97.64568469001594</v>
      </c>
      <c r="AO38" s="23">
        <f>MAX(0,AO36-AO7-AO8)/('Inputs'!$E$25*'Inputs'!$E$26)</f>
        <v>97.39986129038324</v>
      </c>
      <c r="AP38" s="23">
        <f>MAX(0,AP36-AP7-AP8)/('Inputs'!$E$25*'Inputs'!$E$26)</f>
        <v>97.15105526166867</v>
      </c>
      <c r="AQ38" s="23">
        <f>MAX(0,AQ36-AQ7-AQ8)/('Inputs'!$E$25*'Inputs'!$E$26)</f>
        <v>96.8992289116551</v>
      </c>
      <c r="AR38" s="23">
        <f>MAX(0,AR36-AR7-AR8)/('Inputs'!$E$25*'Inputs'!$E$26)</f>
        <v>96.6443440532144</v>
      </c>
      <c r="AS38" s="23">
        <f>MAX(0,AS36-AS7-AS8)/('Inputs'!$E$25*'Inputs'!$E$26)</f>
        <v>96.38636199758838</v>
      </c>
      <c r="AT38" s="23">
        <f>MAX(0,AT36-AT7-AT8)/('Inputs'!$E$25*'Inputs'!$E$26)</f>
        <v>96.12524354757613</v>
      </c>
      <c r="AU38" s="23">
        <f>MAX(0,AU36-AU7-AU8)/('Inputs'!$E$25*'Inputs'!$E$26)</f>
        <v>95.86094899062641</v>
      </c>
    </row>
    <row r="39" spans="1:48">
      <c r="A39" s="3" t="s">
        <v>197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>
      <c r="A40" s="5" t="s">
        <v>256</v>
      </c>
      <c r="B40" s="12" t="s">
        <v>49</v>
      </c>
      <c r="C40" s="14" t="s">
        <v>257</v>
      </c>
      <c r="D40" s="21">
        <f>'Inputs'!$E$38*(D15-D11)</f>
        <v>332.53259999999995</v>
      </c>
      <c r="E40" s="21">
        <f>'Inputs'!$E$38*(E15-E11)</f>
        <v>334.64292600000005</v>
      </c>
      <c r="F40" s="21">
        <f>'Inputs'!$E$38*(F15-F11)</f>
        <v>336.77840526</v>
      </c>
      <c r="G40" s="21">
        <f>'Inputs'!$E$38*(G15-G11)</f>
        <v>388.4393500626</v>
      </c>
      <c r="H40" s="21">
        <f>'Inputs'!$E$38*(H15-H11)</f>
        <v>390.626076724476</v>
      </c>
      <c r="I40" s="21">
        <f>'Inputs'!$E$38*(I15-I11)</f>
        <v>722.5400255148584</v>
      </c>
      <c r="J40" s="21">
        <f>'Inputs'!$E$38*(J15-J11)</f>
        <v>864.9601333255499</v>
      </c>
      <c r="K40" s="21">
        <f>'Inputs'!$E$38*(K15-K11)</f>
        <v>1006.7178288601327</v>
      </c>
      <c r="L40" s="21">
        <f>'Inputs'!$E$38*(L15-L11)</f>
        <v>1349.9064018757012</v>
      </c>
      <c r="M40" s="21">
        <f>'Inputs'!$E$38*(M15-M11)</f>
        <v>1468.9220956154882</v>
      </c>
      <c r="N40" s="21">
        <f>'Inputs'!$E$38*(N15-N11)</f>
        <v>1587.4736842105265</v>
      </c>
      <c r="O40" s="21">
        <f>'Inputs'!$E$38*(O15-O11)</f>
        <v>1587.4736842105262</v>
      </c>
      <c r="P40" s="21">
        <f>'Inputs'!$E$38*(P15-P11)</f>
        <v>1587.4736842105262</v>
      </c>
      <c r="Q40" s="21">
        <f>'Inputs'!$E$38*(Q15-Q11)</f>
        <v>1587.4736842105262</v>
      </c>
      <c r="R40" s="21">
        <f>'Inputs'!$E$38*(R15-R11)</f>
        <v>1587.4736842105262</v>
      </c>
      <c r="S40" s="21">
        <f>'Inputs'!$E$38*(S15-S11)</f>
        <v>1765.2631578947367</v>
      </c>
      <c r="T40" s="21">
        <f>'Inputs'!$E$38*(T15-T11)</f>
        <v>1765.2631578947367</v>
      </c>
      <c r="U40" s="21">
        <f>'Inputs'!$E$38*(U15-U11)</f>
        <v>1765.2631578947367</v>
      </c>
      <c r="V40" s="21">
        <f>'Inputs'!$E$38*(V15-V11)</f>
        <v>1765.2631578947367</v>
      </c>
      <c r="W40" s="21">
        <f>'Inputs'!$E$38*(W15-W11)</f>
        <v>1765.2631578947367</v>
      </c>
      <c r="X40" s="21">
        <f>'Inputs'!$E$38*(X15-X11)</f>
        <v>1765.2631578947367</v>
      </c>
      <c r="Y40" s="21">
        <f>'Inputs'!$E$38*(Y15-Y11)</f>
        <v>1765.2631578947367</v>
      </c>
      <c r="Z40" s="21">
        <f>'Inputs'!$E$38*(Z15-Z11)</f>
        <v>1765.2631578947367</v>
      </c>
      <c r="AA40" s="21">
        <f>'Inputs'!$E$38*(AA15-AA11)</f>
        <v>1765.2631578947367</v>
      </c>
      <c r="AB40" s="21">
        <f>'Inputs'!$E$38*(AB15-AB11)</f>
        <v>1765.2631578947367</v>
      </c>
      <c r="AC40" s="21">
        <f>'Inputs'!$E$38*(AC15-AC11)</f>
        <v>1765.2631578947367</v>
      </c>
      <c r="AD40" s="21">
        <f>'Inputs'!$E$38*(AD15-AD11)</f>
        <v>1765.2631578947367</v>
      </c>
      <c r="AE40" s="21">
        <f>'Inputs'!$E$38*(AE15-AE11)</f>
        <v>1765.2631578947367</v>
      </c>
      <c r="AF40" s="21">
        <f>'Inputs'!$E$38*(AF15-AF11)</f>
        <v>1765.2631578947367</v>
      </c>
      <c r="AG40" s="21">
        <f>'Inputs'!$E$38*(AG15-AG11)</f>
        <v>1765.2631578947367</v>
      </c>
      <c r="AH40" s="21">
        <f>'Inputs'!$E$38*(AH15-AH11)</f>
        <v>1765.2631578947367</v>
      </c>
      <c r="AI40" s="21">
        <f>'Inputs'!$E$38*(AI15-AI11)</f>
        <v>1765.2631578947367</v>
      </c>
      <c r="AJ40" s="21">
        <f>'Inputs'!$E$38*(AJ15-AJ11)</f>
        <v>1765.2631578947367</v>
      </c>
      <c r="AK40" s="21">
        <f>'Inputs'!$E$38*(AK15-AK11)</f>
        <v>1765.2631578947367</v>
      </c>
      <c r="AL40" s="21">
        <f>'Inputs'!$E$38*(AL15-AL11)</f>
        <v>1765.2631578947367</v>
      </c>
      <c r="AM40" s="21">
        <f>'Inputs'!$E$38*(AM15-AM11)</f>
        <v>1765.2631578947367</v>
      </c>
      <c r="AN40" s="21">
        <f>'Inputs'!$E$38*(AN15-AN11)</f>
        <v>1765.2631578947367</v>
      </c>
      <c r="AO40" s="21">
        <f>'Inputs'!$E$38*(AO15-AO11)</f>
        <v>1765.2631578947367</v>
      </c>
      <c r="AP40" s="21">
        <f>'Inputs'!$E$38*(AP15-AP11)</f>
        <v>1765.2631578947367</v>
      </c>
      <c r="AQ40" s="21">
        <f>'Inputs'!$E$38*(AQ15-AQ11)</f>
        <v>1765.2631578947367</v>
      </c>
      <c r="AR40" s="21">
        <f>'Inputs'!$E$38*(AR15-AR11)</f>
        <v>1765.2631578947367</v>
      </c>
      <c r="AS40" s="21">
        <f>'Inputs'!$E$38*(AS15-AS11)</f>
        <v>1765.2631578947367</v>
      </c>
      <c r="AT40" s="21">
        <f>'Inputs'!$E$38*(AT15-AT11)</f>
        <v>1765.2631578947367</v>
      </c>
      <c r="AU40" s="21">
        <f>'Inputs'!$E$38*(AU15-AU11)</f>
        <v>1765.2631578947367</v>
      </c>
    </row>
    <row r="41" spans="1:48">
      <c r="A41" s="5" t="s">
        <v>130</v>
      </c>
      <c r="B41" s="12" t="s">
        <v>49</v>
      </c>
      <c r="C41" s="14" t="s">
        <v>258</v>
      </c>
      <c r="D41" s="21">
        <f>'Inputs'!$E$39*POWER(1+'Inputs'!$E$56,INT(((YEAR(D$5)-YEAR($D$5))*12+MONTH(D$5)-MONTH($D$5))/12))</f>
        <v>1686.95</v>
      </c>
      <c r="E41" s="21">
        <f>'Inputs'!$E$39*POWER(1+'Inputs'!$E$56,INT(((YEAR(E$5)-YEAR($D$5))*12+MONTH(E$5)-MONTH($D$5))/12))</f>
        <v>1686.95</v>
      </c>
      <c r="F41" s="21">
        <f>'Inputs'!$E$39*POWER(1+'Inputs'!$E$56,INT(((YEAR(F$5)-YEAR($D$5))*12+MONTH(F$5)-MONTH($D$5))/12))</f>
        <v>1686.95</v>
      </c>
      <c r="G41" s="21">
        <f>'Inputs'!$E$39*POWER(1+'Inputs'!$E$56,INT(((YEAR(G$5)-YEAR($D$5))*12+MONTH(G$5)-MONTH($D$5))/12))</f>
        <v>1686.95</v>
      </c>
      <c r="H41" s="21">
        <f>'Inputs'!$E$39*POWER(1+'Inputs'!$E$56,INT(((YEAR(H$5)-YEAR($D$5))*12+MONTH(H$5)-MONTH($D$5))/12))</f>
        <v>1686.95</v>
      </c>
      <c r="I41" s="21">
        <f>'Inputs'!$E$39*POWER(1+'Inputs'!$E$56,INT(((YEAR(I$5)-YEAR($D$5))*12+MONTH(I$5)-MONTH($D$5))/12))</f>
        <v>1686.95</v>
      </c>
      <c r="J41" s="21">
        <f>'Inputs'!$E$39*POWER(1+'Inputs'!$E$56,INT(((YEAR(J$5)-YEAR($D$5))*12+MONTH(J$5)-MONTH($D$5))/12))</f>
        <v>1686.95</v>
      </c>
      <c r="K41" s="21">
        <f>'Inputs'!$E$39*POWER(1+'Inputs'!$E$56,INT(((YEAR(K$5)-YEAR($D$5))*12+MONTH(K$5)-MONTH($D$5))/12))</f>
        <v>1686.95</v>
      </c>
      <c r="L41" s="21">
        <f>'Inputs'!$E$39*POWER(1+'Inputs'!$E$56,INT(((YEAR(L$5)-YEAR($D$5))*12+MONTH(L$5)-MONTH($D$5))/12))</f>
        <v>1686.95</v>
      </c>
      <c r="M41" s="21">
        <f>'Inputs'!$E$39*POWER(1+'Inputs'!$E$56,INT(((YEAR(M$5)-YEAR($D$5))*12+MONTH(M$5)-MONTH($D$5))/12))</f>
        <v>1686.95</v>
      </c>
      <c r="N41" s="21">
        <f>'Inputs'!$E$39*POWER(1+'Inputs'!$E$56,INT(((YEAR(N$5)-YEAR($D$5))*12+MONTH(N$5)-MONTH($D$5))/12))</f>
        <v>1686.95</v>
      </c>
      <c r="O41" s="21">
        <f>'Inputs'!$E$39*POWER(1+'Inputs'!$E$56,INT(((YEAR(O$5)-YEAR($D$5))*12+MONTH(O$5)-MONTH($D$5))/12))</f>
        <v>1686.95</v>
      </c>
      <c r="P41" s="21">
        <f>'Inputs'!$E$39*POWER(1+'Inputs'!$E$56,INT(((YEAR(P$5)-YEAR($D$5))*12+MONTH(P$5)-MONTH($D$5))/12))</f>
        <v>1737.5585</v>
      </c>
      <c r="Q41" s="21">
        <f>'Inputs'!$E$39*POWER(1+'Inputs'!$E$56,INT(((YEAR(Q$5)-YEAR($D$5))*12+MONTH(Q$5)-MONTH($D$5))/12))</f>
        <v>1737.5585</v>
      </c>
      <c r="R41" s="21">
        <f>'Inputs'!$E$39*POWER(1+'Inputs'!$E$56,INT(((YEAR(R$5)-YEAR($D$5))*12+MONTH(R$5)-MONTH($D$5))/12))</f>
        <v>1737.5585</v>
      </c>
      <c r="S41" s="21">
        <f>'Inputs'!$E$39*POWER(1+'Inputs'!$E$56,INT(((YEAR(S$5)-YEAR($D$5))*12+MONTH(S$5)-MONTH($D$5))/12))</f>
        <v>1737.5585</v>
      </c>
      <c r="T41" s="21">
        <f>'Inputs'!$E$39*POWER(1+'Inputs'!$E$56,INT(((YEAR(T$5)-YEAR($D$5))*12+MONTH(T$5)-MONTH($D$5))/12))</f>
        <v>1737.5585</v>
      </c>
      <c r="U41" s="21">
        <f>'Inputs'!$E$39*POWER(1+'Inputs'!$E$56,INT(((YEAR(U$5)-YEAR($D$5))*12+MONTH(U$5)-MONTH($D$5))/12))</f>
        <v>1737.5585</v>
      </c>
      <c r="V41" s="21">
        <f>'Inputs'!$E$39*POWER(1+'Inputs'!$E$56,INT(((YEAR(V$5)-YEAR($D$5))*12+MONTH(V$5)-MONTH($D$5))/12))</f>
        <v>1737.5585</v>
      </c>
      <c r="W41" s="21">
        <f>'Inputs'!$E$39*POWER(1+'Inputs'!$E$56,INT(((YEAR(W$5)-YEAR($D$5))*12+MONTH(W$5)-MONTH($D$5))/12))</f>
        <v>1737.5585</v>
      </c>
      <c r="X41" s="21">
        <f>'Inputs'!$E$39*POWER(1+'Inputs'!$E$56,INT(((YEAR(X$5)-YEAR($D$5))*12+MONTH(X$5)-MONTH($D$5))/12))</f>
        <v>1737.5585</v>
      </c>
      <c r="Y41" s="21">
        <f>'Inputs'!$E$39*POWER(1+'Inputs'!$E$56,INT(((YEAR(Y$5)-YEAR($D$5))*12+MONTH(Y$5)-MONTH($D$5))/12))</f>
        <v>1737.5585</v>
      </c>
      <c r="Z41" s="21">
        <f>'Inputs'!$E$39*POWER(1+'Inputs'!$E$56,INT(((YEAR(Z$5)-YEAR($D$5))*12+MONTH(Z$5)-MONTH($D$5))/12))</f>
        <v>1737.5585</v>
      </c>
      <c r="AA41" s="21">
        <f>'Inputs'!$E$39*POWER(1+'Inputs'!$E$56,INT(((YEAR(AA$5)-YEAR($D$5))*12+MONTH(AA$5)-MONTH($D$5))/12))</f>
        <v>1737.5585</v>
      </c>
      <c r="AB41" s="21">
        <f>'Inputs'!$E$39*POWER(1+'Inputs'!$E$56,INT(((YEAR(AB$5)-YEAR($D$5))*12+MONTH(AB$5)-MONTH($D$5))/12))</f>
        <v>1789.6852549999999</v>
      </c>
      <c r="AC41" s="21">
        <f>'Inputs'!$E$39*POWER(1+'Inputs'!$E$56,INT(((YEAR(AC$5)-YEAR($D$5))*12+MONTH(AC$5)-MONTH($D$5))/12))</f>
        <v>1789.6852549999999</v>
      </c>
      <c r="AD41" s="21">
        <f>'Inputs'!$E$39*POWER(1+'Inputs'!$E$56,INT(((YEAR(AD$5)-YEAR($D$5))*12+MONTH(AD$5)-MONTH($D$5))/12))</f>
        <v>1789.6852549999999</v>
      </c>
      <c r="AE41" s="21">
        <f>'Inputs'!$E$39*POWER(1+'Inputs'!$E$56,INT(((YEAR(AE$5)-YEAR($D$5))*12+MONTH(AE$5)-MONTH($D$5))/12))</f>
        <v>1789.6852549999999</v>
      </c>
      <c r="AF41" s="21">
        <f>'Inputs'!$E$39*POWER(1+'Inputs'!$E$56,INT(((YEAR(AF$5)-YEAR($D$5))*12+MONTH(AF$5)-MONTH($D$5))/12))</f>
        <v>1789.6852549999999</v>
      </c>
      <c r="AG41" s="21">
        <f>'Inputs'!$E$39*POWER(1+'Inputs'!$E$56,INT(((YEAR(AG$5)-YEAR($D$5))*12+MONTH(AG$5)-MONTH($D$5))/12))</f>
        <v>1789.6852549999999</v>
      </c>
      <c r="AH41" s="21">
        <f>'Inputs'!$E$39*POWER(1+'Inputs'!$E$56,INT(((YEAR(AH$5)-YEAR($D$5))*12+MONTH(AH$5)-MONTH($D$5))/12))</f>
        <v>1789.6852549999999</v>
      </c>
      <c r="AI41" s="21">
        <f>'Inputs'!$E$39*POWER(1+'Inputs'!$E$56,INT(((YEAR(AI$5)-YEAR($D$5))*12+MONTH(AI$5)-MONTH($D$5))/12))</f>
        <v>1789.6852549999999</v>
      </c>
      <c r="AJ41" s="21">
        <f>'Inputs'!$E$39*POWER(1+'Inputs'!$E$56,INT(((YEAR(AJ$5)-YEAR($D$5))*12+MONTH(AJ$5)-MONTH($D$5))/12))</f>
        <v>1789.6852549999999</v>
      </c>
      <c r="AK41" s="21">
        <f>'Inputs'!$E$39*POWER(1+'Inputs'!$E$56,INT(((YEAR(AK$5)-YEAR($D$5))*12+MONTH(AK$5)-MONTH($D$5))/12))</f>
        <v>1789.6852549999999</v>
      </c>
      <c r="AL41" s="21">
        <f>'Inputs'!$E$39*POWER(1+'Inputs'!$E$56,INT(((YEAR(AL$5)-YEAR($D$5))*12+MONTH(AL$5)-MONTH($D$5))/12))</f>
        <v>1789.6852549999999</v>
      </c>
      <c r="AM41" s="21">
        <f>'Inputs'!$E$39*POWER(1+'Inputs'!$E$56,INT(((YEAR(AM$5)-YEAR($D$5))*12+MONTH(AM$5)-MONTH($D$5))/12))</f>
        <v>1789.6852549999999</v>
      </c>
      <c r="AN41" s="21">
        <f>'Inputs'!$E$39*POWER(1+'Inputs'!$E$56,INT(((YEAR(AN$5)-YEAR($D$5))*12+MONTH(AN$5)-MONTH($D$5))/12))</f>
        <v>1843.37581265</v>
      </c>
      <c r="AO41" s="21">
        <f>'Inputs'!$E$39*POWER(1+'Inputs'!$E$56,INT(((YEAR(AO$5)-YEAR($D$5))*12+MONTH(AO$5)-MONTH($D$5))/12))</f>
        <v>1843.37581265</v>
      </c>
      <c r="AP41" s="21">
        <f>'Inputs'!$E$39*POWER(1+'Inputs'!$E$56,INT(((YEAR(AP$5)-YEAR($D$5))*12+MONTH(AP$5)-MONTH($D$5))/12))</f>
        <v>1843.37581265</v>
      </c>
      <c r="AQ41" s="21">
        <f>'Inputs'!$E$39*POWER(1+'Inputs'!$E$56,INT(((YEAR(AQ$5)-YEAR($D$5))*12+MONTH(AQ$5)-MONTH($D$5))/12))</f>
        <v>1843.37581265</v>
      </c>
      <c r="AR41" s="21">
        <f>'Inputs'!$E$39*POWER(1+'Inputs'!$E$56,INT(((YEAR(AR$5)-YEAR($D$5))*12+MONTH(AR$5)-MONTH($D$5))/12))</f>
        <v>1843.37581265</v>
      </c>
      <c r="AS41" s="21">
        <f>'Inputs'!$E$39*POWER(1+'Inputs'!$E$56,INT(((YEAR(AS$5)-YEAR($D$5))*12+MONTH(AS$5)-MONTH($D$5))/12))</f>
        <v>1843.37581265</v>
      </c>
      <c r="AT41" s="21">
        <f>'Inputs'!$E$39*POWER(1+'Inputs'!$E$56,INT(((YEAR(AT$5)-YEAR($D$5))*12+MONTH(AT$5)-MONTH($D$5))/12))</f>
        <v>1843.37581265</v>
      </c>
      <c r="AU41" s="21">
        <f>'Inputs'!$E$39*POWER(1+'Inputs'!$E$56,INT(((YEAR(AU$5)-YEAR($D$5))*12+MONTH(AU$5)-MONTH($D$5))/12))</f>
        <v>1843.37581265</v>
      </c>
    </row>
    <row r="42" spans="1:48">
      <c r="A42" s="19" t="s">
        <v>259</v>
      </c>
      <c r="B42" s="12" t="s">
        <v>49</v>
      </c>
      <c r="C42" s="14" t="s">
        <v>260</v>
      </c>
      <c r="D42" s="20">
        <f>D15-D18-D20-D21-D25-D33-D40-D41</f>
        <v>-523.2668400000009</v>
      </c>
      <c r="E42" s="20">
        <f>E15-E18-E20-E21-E25-E33-E40-E41</f>
        <v>-481.2010083999983</v>
      </c>
      <c r="F42" s="20">
        <f>F15-F18-F20-F21-F25-F33-F40-F41</f>
        <v>-438.63378848399884</v>
      </c>
      <c r="G42" s="20">
        <f>G15-G18-G20-G21-G25-G33-G40-G41</f>
        <v>-3880.4589554188406</v>
      </c>
      <c r="H42" s="20">
        <f>H15-H18-H20-H21-H25-H33-H40-H41</f>
        <v>-3836.870203958777</v>
      </c>
      <c r="I42" s="20">
        <f>I15-I18-I20-I21-I25-I33-I40-I41</f>
        <v>58.62446181893597</v>
      </c>
      <c r="J42" s="20">
        <f>J15-J18-J20-J21-J25-J33-J40-J41</f>
        <v>2636.428413192456</v>
      </c>
      <c r="K42" s="20">
        <f>K15-K18-K20-K21-K25-K33-K40-K41</f>
        <v>5202.242702368407</v>
      </c>
      <c r="L42" s="20">
        <f>L15-L18-L20-L21-L25-L33-L40-L41</f>
        <v>10613.955873950195</v>
      </c>
      <c r="M42" s="20">
        <f>M15-M18-M20-M21-M25-M33-M40-M41</f>
        <v>12768.139930640335</v>
      </c>
      <c r="N42" s="20">
        <f>N15-N18-N20-N21-N25-N33-N40-N41</f>
        <v>14913.923684210527</v>
      </c>
      <c r="O42" s="20">
        <f>O15-O18-O20-O21-O25-O33-O40-O41</f>
        <v>16897.7447368421</v>
      </c>
      <c r="P42" s="20">
        <f>P15-P18-P20-P21-P25-P33-P40-P41</f>
        <v>16847.136236842103</v>
      </c>
      <c r="Q42" s="20">
        <f>Q15-Q18-Q20-Q21-Q25-Q33-Q40-Q41</f>
        <v>16847.136236842103</v>
      </c>
      <c r="R42" s="20">
        <f>R15-R18-R20-R21-R25-R33-R40-R41</f>
        <v>16847.136236842103</v>
      </c>
      <c r="S42" s="20">
        <f>S15-S18-S20-S21-S25-S33-S40-S41</f>
        <v>19697.694131578955</v>
      </c>
      <c r="T42" s="20">
        <f>T15-T18-T20-T21-T25-T33-T40-T41</f>
        <v>19697.694131578948</v>
      </c>
      <c r="U42" s="20">
        <f>U15-U18-U20-U21-U25-U33-U40-U41</f>
        <v>19697.694131578948</v>
      </c>
      <c r="V42" s="20">
        <f>V15-V18-V20-V21-V25-V33-V40-V41</f>
        <v>19697.694131578948</v>
      </c>
      <c r="W42" s="20">
        <f>W15-W18-W20-W21-W25-W33-W40-W41</f>
        <v>19697.694131578948</v>
      </c>
      <c r="X42" s="20">
        <f>X15-X18-X20-X21-X25-X33-X40-X41</f>
        <v>19697.69413157894</v>
      </c>
      <c r="Y42" s="20">
        <f>Y15-Y18-Y20-Y21-Y25-Y33-Y40-Y41</f>
        <v>19697.694131578948</v>
      </c>
      <c r="Z42" s="20">
        <f>Z15-Z18-Z20-Z21-Z25-Z33-Z40-Z41</f>
        <v>19697.694131578948</v>
      </c>
      <c r="AA42" s="20">
        <f>AA15-AA18-AA20-AA21-AA25-AA33-AA40-AA41</f>
        <v>19697.694131578948</v>
      </c>
      <c r="AB42" s="20">
        <f>AB15-AB18-AB20-AB21-AB25-AB33-AB40-AB41</f>
        <v>19645.567376578947</v>
      </c>
      <c r="AC42" s="20">
        <f>AC15-AC18-AC20-AC21-AC25-AC33-AC40-AC41</f>
        <v>19645.567376578947</v>
      </c>
      <c r="AD42" s="20">
        <f>AD15-AD18-AD20-AD21-AD25-AD33-AD40-AD41</f>
        <v>19645.567376578947</v>
      </c>
      <c r="AE42" s="20">
        <f>AE15-AE18-AE20-AE21-AE25-AE33-AE40-AE41</f>
        <v>19645.567376578947</v>
      </c>
      <c r="AF42" s="20">
        <f>AF15-AF18-AF20-AF21-AF25-AF33-AF40-AF41</f>
        <v>19645.567376578947</v>
      </c>
      <c r="AG42" s="20">
        <f>AG15-AG18-AG20-AG21-AG25-AG33-AG40-AG41</f>
        <v>19645.567376578954</v>
      </c>
      <c r="AH42" s="20">
        <f>AH15-AH18-AH20-AH21-AH25-AH33-AH40-AH41</f>
        <v>19645.567376578947</v>
      </c>
      <c r="AI42" s="20">
        <f>AI15-AI18-AI20-AI21-AI25-AI33-AI40-AI41</f>
        <v>19645.56737657894</v>
      </c>
      <c r="AJ42" s="20">
        <f>AJ15-AJ18-AJ20-AJ21-AJ25-AJ33-AJ40-AJ41</f>
        <v>19645.567376578947</v>
      </c>
      <c r="AK42" s="20">
        <f>AK15-AK18-AK20-AK21-AK25-AK33-AK40-AK41</f>
        <v>19645.567376578947</v>
      </c>
      <c r="AL42" s="20">
        <f>AL15-AL18-AL20-AL21-AL25-AL33-AL40-AL41</f>
        <v>19645.567376578947</v>
      </c>
      <c r="AM42" s="20">
        <f>AM15-AM18-AM20-AM21-AM25-AM33-AM40-AM41</f>
        <v>19645.567376578947</v>
      </c>
      <c r="AN42" s="20">
        <f>AN15-AN18-AN20-AN21-AN25-AN33-AN40-AN41</f>
        <v>19591.876818928948</v>
      </c>
      <c r="AO42" s="20">
        <f>AO15-AO18-AO20-AO21-AO25-AO33-AO40-AO41</f>
        <v>19591.876818928948</v>
      </c>
      <c r="AP42" s="20">
        <f>AP15-AP18-AP20-AP21-AP25-AP33-AP40-AP41</f>
        <v>19591.876818928948</v>
      </c>
      <c r="AQ42" s="20">
        <f>AQ15-AQ18-AQ20-AQ21-AQ25-AQ33-AQ40-AQ41</f>
        <v>19591.876818928948</v>
      </c>
      <c r="AR42" s="20">
        <f>AR15-AR18-AR20-AR21-AR25-AR33-AR40-AR41</f>
        <v>19591.876818928948</v>
      </c>
      <c r="AS42" s="20">
        <f>AS15-AS18-AS20-AS21-AS25-AS33-AS40-AS41</f>
        <v>19591.87681892894</v>
      </c>
      <c r="AT42" s="20">
        <f>AT15-AT18-AT20-AT21-AT25-AT33-AT40-AT41</f>
        <v>19591.876818928948</v>
      </c>
      <c r="AU42" s="20">
        <f>AU15-AU18-AU20-AU21-AU25-AU33-AU40-AU41</f>
        <v>19591.876818928948</v>
      </c>
    </row>
    <row r="43" spans="1:48">
      <c r="A43" s="5" t="s">
        <v>261</v>
      </c>
      <c r="B43" s="12" t="s">
        <v>221</v>
      </c>
      <c r="C43" s="14" t="s">
        <v>262</v>
      </c>
      <c r="D43" s="22">
        <f>IFERROR(D42/D15,0)</f>
        <v>-0.03174311501405575</v>
      </c>
      <c r="E43" s="22">
        <f>IFERROR(E42/E15,0)</f>
        <v>-0.029067222135365615</v>
      </c>
      <c r="F43" s="22">
        <f>IFERROR(F42/F15,0)</f>
        <v>-0.026382484718159595</v>
      </c>
      <c r="G43" s="22">
        <f>IFERROR(G42/G15,0)</f>
        <v>-0.1925979317039974</v>
      </c>
      <c r="H43" s="22">
        <f>IFERROR(H42/H15,0)</f>
        <v>-0.18974803513275848</v>
      </c>
      <c r="I43" s="22">
        <f>IFERROR(I42/I15,0)</f>
        <v>0.0018739039430985204</v>
      </c>
      <c r="J43" s="22">
        <f>IFERROR(J42/J15,0)</f>
        <v>0.07316907437876202</v>
      </c>
      <c r="K43" s="22">
        <f>IFERROR(K42/K15,0)</f>
        <v>0.1276396543727055</v>
      </c>
      <c r="L43" s="22">
        <f>IFERROR(L42/L15,0)</f>
        <v>0.20334464169575656</v>
      </c>
      <c r="M43" s="22">
        <f>IFERROR(M42/M15,0)</f>
        <v>0.22733644416912174</v>
      </c>
      <c r="N43" s="22">
        <f>IFERROR(N42/N15,0)</f>
        <v>0.2480866310628611</v>
      </c>
      <c r="O43" s="22">
        <f>IFERROR(O42/O15,0)</f>
        <v>0.2810866310628611</v>
      </c>
      <c r="P43" s="22">
        <f>IFERROR(P42/P15,0)</f>
        <v>0.28024478068639463</v>
      </c>
      <c r="Q43" s="22">
        <f>IFERROR(Q42/Q15,0)</f>
        <v>0.28024478068639463</v>
      </c>
      <c r="R43" s="22">
        <f>IFERROR(R42/R15,0)</f>
        <v>0.28024478068639463</v>
      </c>
      <c r="S43" s="22">
        <f>IFERROR(S42/S15,0)</f>
        <v>0.29825963380618437</v>
      </c>
      <c r="T43" s="22">
        <f>IFERROR(T42/T15,0)</f>
        <v>0.29825963380618425</v>
      </c>
      <c r="U43" s="22">
        <f>IFERROR(U42/U15,0)</f>
        <v>0.29825963380618425</v>
      </c>
      <c r="V43" s="22">
        <f>IFERROR(V42/V15,0)</f>
        <v>0.29825963380618425</v>
      </c>
      <c r="W43" s="22">
        <f>IFERROR(W42/W15,0)</f>
        <v>0.29825963380618425</v>
      </c>
      <c r="X43" s="22">
        <f>IFERROR(X42/X15,0)</f>
        <v>0.29825963380618414</v>
      </c>
      <c r="Y43" s="22">
        <f>IFERROR(Y42/Y15,0)</f>
        <v>0.29825963380618425</v>
      </c>
      <c r="Z43" s="22">
        <f>IFERROR(Z42/Z15,0)</f>
        <v>0.29825963380618425</v>
      </c>
      <c r="AA43" s="22">
        <f>IFERROR(AA42/AA15,0)</f>
        <v>0.29825963380618425</v>
      </c>
      <c r="AB43" s="22">
        <f>IFERROR(AB42/AB15,0)</f>
        <v>0.2974703380259802</v>
      </c>
      <c r="AC43" s="22">
        <f>IFERROR(AC42/AC15,0)</f>
        <v>0.2974703380259802</v>
      </c>
      <c r="AD43" s="22">
        <f>IFERROR(AD42/AD15,0)</f>
        <v>0.2974703380259802</v>
      </c>
      <c r="AE43" s="22">
        <f>IFERROR(AE42/AE15,0)</f>
        <v>0.2974703380259802</v>
      </c>
      <c r="AF43" s="22">
        <f>IFERROR(AF42/AF15,0)</f>
        <v>0.2974703380259802</v>
      </c>
      <c r="AG43" s="22">
        <f>IFERROR(AG42/AG15,0)</f>
        <v>0.29747033802598033</v>
      </c>
      <c r="AH43" s="22">
        <f>IFERROR(AH42/AH15,0)</f>
        <v>0.2974703380259802</v>
      </c>
      <c r="AI43" s="22">
        <f>IFERROR(AI42/AI15,0)</f>
        <v>0.2974703380259801</v>
      </c>
      <c r="AJ43" s="22">
        <f>IFERROR(AJ42/AJ15,0)</f>
        <v>0.2974703380259802</v>
      </c>
      <c r="AK43" s="22">
        <f>IFERROR(AK42/AK15,0)</f>
        <v>0.2974703380259802</v>
      </c>
      <c r="AL43" s="22">
        <f>IFERROR(AL42/AL15,0)</f>
        <v>0.2974703380259802</v>
      </c>
      <c r="AM43" s="22">
        <f>IFERROR(AM42/AM15,0)</f>
        <v>0.2974703380259802</v>
      </c>
      <c r="AN43" s="22">
        <f>IFERROR(AN42/AN15,0)</f>
        <v>0.2966573633723701</v>
      </c>
      <c r="AO43" s="22">
        <f>IFERROR(AO42/AO15,0)</f>
        <v>0.2966573633723701</v>
      </c>
      <c r="AP43" s="22">
        <f>IFERROR(AP42/AP15,0)</f>
        <v>0.2966573633723701</v>
      </c>
      <c r="AQ43" s="22">
        <f>IFERROR(AQ42/AQ15,0)</f>
        <v>0.2966573633723701</v>
      </c>
      <c r="AR43" s="22">
        <f>IFERROR(AR42/AR15,0)</f>
        <v>0.2966573633723701</v>
      </c>
      <c r="AS43" s="22">
        <f>IFERROR(AS42/AS15,0)</f>
        <v>0.29665736337237</v>
      </c>
      <c r="AT43" s="22">
        <f>IFERROR(AT42/AT15,0)</f>
        <v>0.2966573633723701</v>
      </c>
      <c r="AU43" s="22">
        <f>IFERROR(AU42/AU15,0)</f>
        <v>0.2966573633723701</v>
      </c>
    </row>
    <row r="44" spans="1:48">
      <c r="A44" s="5" t="s">
        <v>263</v>
      </c>
      <c r="B44" s="12" t="s">
        <v>49</v>
      </c>
      <c r="C44" s="14" t="s">
        <v>264</v>
      </c>
      <c r="D44" s="21">
        <f>IF(D$5&gt;='Inputs'!$E$33,'Inputs'!$E$32,0)</f>
        <v>7500.0</v>
      </c>
      <c r="E44" s="21">
        <f>IF(E$5&gt;='Inputs'!$E$33,'Inputs'!$E$32,0)</f>
        <v>7500.0</v>
      </c>
      <c r="F44" s="21">
        <f>IF(F$5&gt;='Inputs'!$E$33,'Inputs'!$E$32,0)</f>
        <v>7500.0</v>
      </c>
      <c r="G44" s="21">
        <f>IF(G$5&gt;='Inputs'!$E$33,'Inputs'!$E$32,0)</f>
        <v>7500.0</v>
      </c>
      <c r="H44" s="21">
        <f>IF(H$5&gt;='Inputs'!$E$33,'Inputs'!$E$32,0)</f>
        <v>7500.0</v>
      </c>
      <c r="I44" s="21">
        <f>IF(I$5&gt;='Inputs'!$E$33,'Inputs'!$E$32,0)</f>
        <v>7500.0</v>
      </c>
      <c r="J44" s="21">
        <f>IF(J$5&gt;='Inputs'!$E$33,'Inputs'!$E$32,0)</f>
        <v>7500.0</v>
      </c>
      <c r="K44" s="21">
        <f>IF(K$5&gt;='Inputs'!$E$33,'Inputs'!$E$32,0)</f>
        <v>7500.0</v>
      </c>
      <c r="L44" s="21">
        <f>IF(L$5&gt;='Inputs'!$E$33,'Inputs'!$E$32,0)</f>
        <v>7500.0</v>
      </c>
      <c r="M44" s="21">
        <f>IF(M$5&gt;='Inputs'!$E$33,'Inputs'!$E$32,0)</f>
        <v>7500.0</v>
      </c>
      <c r="N44" s="21">
        <f>IF(N$5&gt;='Inputs'!$E$33,'Inputs'!$E$32,0)</f>
        <v>7500.0</v>
      </c>
      <c r="O44" s="21">
        <f>IF(O$5&gt;='Inputs'!$E$33,'Inputs'!$E$32,0)</f>
        <v>7500.0</v>
      </c>
      <c r="P44" s="21">
        <f>IF(P$5&gt;='Inputs'!$E$33,'Inputs'!$E$32,0)</f>
        <v>7500.0</v>
      </c>
      <c r="Q44" s="21">
        <f>IF(Q$5&gt;='Inputs'!$E$33,'Inputs'!$E$32,0)</f>
        <v>7500.0</v>
      </c>
      <c r="R44" s="21">
        <f>IF(R$5&gt;='Inputs'!$E$33,'Inputs'!$E$32,0)</f>
        <v>7500.0</v>
      </c>
      <c r="S44" s="21">
        <f>IF(S$5&gt;='Inputs'!$E$33,'Inputs'!$E$32,0)</f>
        <v>7500.0</v>
      </c>
      <c r="T44" s="21">
        <f>IF(T$5&gt;='Inputs'!$E$33,'Inputs'!$E$32,0)</f>
        <v>7500.0</v>
      </c>
      <c r="U44" s="21">
        <f>IF(U$5&gt;='Inputs'!$E$33,'Inputs'!$E$32,0)</f>
        <v>7500.0</v>
      </c>
      <c r="V44" s="21">
        <f>IF(V$5&gt;='Inputs'!$E$33,'Inputs'!$E$32,0)</f>
        <v>7500.0</v>
      </c>
      <c r="W44" s="21">
        <f>IF(W$5&gt;='Inputs'!$E$33,'Inputs'!$E$32,0)</f>
        <v>7500.0</v>
      </c>
      <c r="X44" s="21">
        <f>IF(X$5&gt;='Inputs'!$E$33,'Inputs'!$E$32,0)</f>
        <v>7500.0</v>
      </c>
      <c r="Y44" s="21">
        <f>IF(Y$5&gt;='Inputs'!$E$33,'Inputs'!$E$32,0)</f>
        <v>7500.0</v>
      </c>
      <c r="Z44" s="21">
        <f>IF(Z$5&gt;='Inputs'!$E$33,'Inputs'!$E$32,0)</f>
        <v>7500.0</v>
      </c>
      <c r="AA44" s="21">
        <f>IF(AA$5&gt;='Inputs'!$E$33,'Inputs'!$E$32,0)</f>
        <v>7500.0</v>
      </c>
      <c r="AB44" s="21">
        <f>IF(AB$5&gt;='Inputs'!$E$33,'Inputs'!$E$32,0)</f>
        <v>7500.0</v>
      </c>
      <c r="AC44" s="21">
        <f>IF(AC$5&gt;='Inputs'!$E$33,'Inputs'!$E$32,0)</f>
        <v>7500.0</v>
      </c>
      <c r="AD44" s="21">
        <f>IF(AD$5&gt;='Inputs'!$E$33,'Inputs'!$E$32,0)</f>
        <v>7500.0</v>
      </c>
      <c r="AE44" s="21">
        <f>IF(AE$5&gt;='Inputs'!$E$33,'Inputs'!$E$32,0)</f>
        <v>7500.0</v>
      </c>
      <c r="AF44" s="21">
        <f>IF(AF$5&gt;='Inputs'!$E$33,'Inputs'!$E$32,0)</f>
        <v>7500.0</v>
      </c>
      <c r="AG44" s="21">
        <f>IF(AG$5&gt;='Inputs'!$E$33,'Inputs'!$E$32,0)</f>
        <v>7500.0</v>
      </c>
      <c r="AH44" s="21">
        <f>IF(AH$5&gt;='Inputs'!$E$33,'Inputs'!$E$32,0)</f>
        <v>7500.0</v>
      </c>
      <c r="AI44" s="21">
        <f>IF(AI$5&gt;='Inputs'!$E$33,'Inputs'!$E$32,0)</f>
        <v>7500.0</v>
      </c>
      <c r="AJ44" s="21">
        <f>IF(AJ$5&gt;='Inputs'!$E$33,'Inputs'!$E$32,0)</f>
        <v>7500.0</v>
      </c>
      <c r="AK44" s="21">
        <f>IF(AK$5&gt;='Inputs'!$E$33,'Inputs'!$E$32,0)</f>
        <v>7500.0</v>
      </c>
      <c r="AL44" s="21">
        <f>IF(AL$5&gt;='Inputs'!$E$33,'Inputs'!$E$32,0)</f>
        <v>7500.0</v>
      </c>
      <c r="AM44" s="21">
        <f>IF(AM$5&gt;='Inputs'!$E$33,'Inputs'!$E$32,0)</f>
        <v>7500.0</v>
      </c>
      <c r="AN44" s="21">
        <f>IF(AN$5&gt;='Inputs'!$E$33,'Inputs'!$E$32,0)</f>
        <v>7500.0</v>
      </c>
      <c r="AO44" s="21">
        <f>IF(AO$5&gt;='Inputs'!$E$33,'Inputs'!$E$32,0)</f>
        <v>7500.0</v>
      </c>
      <c r="AP44" s="21">
        <f>IF(AP$5&gt;='Inputs'!$E$33,'Inputs'!$E$32,0)</f>
        <v>7500.0</v>
      </c>
      <c r="AQ44" s="21">
        <f>IF(AQ$5&gt;='Inputs'!$E$33,'Inputs'!$E$32,0)</f>
        <v>7500.0</v>
      </c>
      <c r="AR44" s="21">
        <f>IF(AR$5&gt;='Inputs'!$E$33,'Inputs'!$E$32,0)</f>
        <v>7500.0</v>
      </c>
      <c r="AS44" s="21">
        <f>IF(AS$5&gt;='Inputs'!$E$33,'Inputs'!$E$32,0)</f>
        <v>7500.0</v>
      </c>
      <c r="AT44" s="21">
        <f>IF(AT$5&gt;='Inputs'!$E$33,'Inputs'!$E$32,0)</f>
        <v>7500.0</v>
      </c>
      <c r="AU44" s="21">
        <f>IF(AU$5&gt;='Inputs'!$E$33,'Inputs'!$E$32,0)</f>
        <v>7500.0</v>
      </c>
    </row>
    <row r="45" spans="1:48">
      <c r="A45" s="5" t="s">
        <v>265</v>
      </c>
      <c r="B45" s="12" t="s">
        <v>49</v>
      </c>
      <c r="C45" s="14" t="s">
        <v>266</v>
      </c>
      <c r="D45" s="21">
        <f>MIN(MAX(0,IF(D$5&gt;='Inputs'!$E$35,'Inputs'!$E$36,0)),MAX(0,'Inputs'!$E$34+D23-D44))</f>
        <v>0.0</v>
      </c>
      <c r="E45" s="21">
        <f>MIN(MAX(0,IF(E$5&gt;='Inputs'!$E$35,'Inputs'!$E$36,0)),MAX(0,D47+E23-E44))</f>
        <v>0.0</v>
      </c>
      <c r="F45" s="21">
        <f>MIN(MAX(0,IF(F$5&gt;='Inputs'!$E$35,'Inputs'!$E$36,0)),MAX(0,E47+F23-F44))</f>
        <v>0.0</v>
      </c>
      <c r="G45" s="21">
        <f>MIN(MAX(0,IF(G$5&gt;='Inputs'!$E$35,'Inputs'!$E$36,0)),MAX(0,F47+G23-G44))</f>
        <v>0.0</v>
      </c>
      <c r="H45" s="21">
        <f>MIN(MAX(0,IF(H$5&gt;='Inputs'!$E$35,'Inputs'!$E$36,0)),MAX(0,G47+H23-H44))</f>
        <v>0.0</v>
      </c>
      <c r="I45" s="21">
        <f>MIN(MAX(0,IF(I$5&gt;='Inputs'!$E$35,'Inputs'!$E$36,0)),MAX(0,H47+I23-I44))</f>
        <v>0.0</v>
      </c>
      <c r="J45" s="21">
        <f>MIN(MAX(0,IF(J$5&gt;='Inputs'!$E$35,'Inputs'!$E$36,0)),MAX(0,I47+J23-J44))</f>
        <v>0.0</v>
      </c>
      <c r="K45" s="21">
        <f>MIN(MAX(0,IF(K$5&gt;='Inputs'!$E$35,'Inputs'!$E$36,0)),MAX(0,J47+K23-K44))</f>
        <v>0.0</v>
      </c>
      <c r="L45" s="21">
        <f>MIN(MAX(0,IF(L$5&gt;='Inputs'!$E$35,'Inputs'!$E$36,0)),MAX(0,K47+L23-L44))</f>
        <v>0.0</v>
      </c>
      <c r="M45" s="21">
        <f>MIN(MAX(0,IF(M$5&gt;='Inputs'!$E$35,'Inputs'!$E$36,0)),MAX(0,L47+M23-M44))</f>
        <v>0.0</v>
      </c>
      <c r="N45" s="21">
        <f>MIN(MAX(0,IF(N$5&gt;='Inputs'!$E$35,'Inputs'!$E$36,0)),MAX(0,M47+N23-N44))</f>
        <v>0.0</v>
      </c>
      <c r="O45" s="21">
        <f>MIN(MAX(0,IF(O$5&gt;='Inputs'!$E$35,'Inputs'!$E$36,0)),MAX(0,N47+O23-O44))</f>
        <v>0.0</v>
      </c>
      <c r="P45" s="21">
        <f>MIN(MAX(0,IF(P$5&gt;='Inputs'!$E$35,'Inputs'!$E$36,0)),MAX(0,O47+P23-P44))</f>
        <v>0.0</v>
      </c>
      <c r="Q45" s="21">
        <f>MIN(MAX(0,IF(Q$5&gt;='Inputs'!$E$35,'Inputs'!$E$36,0)),MAX(0,P47+Q23-Q44))</f>
        <v>0.0</v>
      </c>
      <c r="R45" s="21">
        <f>MIN(MAX(0,IF(R$5&gt;='Inputs'!$E$35,'Inputs'!$E$36,0)),MAX(0,Q47+R23-R44))</f>
        <v>0.0</v>
      </c>
      <c r="S45" s="21">
        <f>MIN(MAX(0,IF(S$5&gt;='Inputs'!$E$35,'Inputs'!$E$36,0)),MAX(0,R47+S23-S44))</f>
        <v>0.0</v>
      </c>
      <c r="T45" s="21">
        <f>MIN(MAX(0,IF(T$5&gt;='Inputs'!$E$35,'Inputs'!$E$36,0)),MAX(0,S47+T23-T44))</f>
        <v>0.0</v>
      </c>
      <c r="U45" s="21">
        <f>MIN(MAX(0,IF(U$5&gt;='Inputs'!$E$35,'Inputs'!$E$36,0)),MAX(0,T47+U23-U44))</f>
        <v>0.0</v>
      </c>
      <c r="V45" s="21">
        <f>MIN(MAX(0,IF(V$5&gt;='Inputs'!$E$35,'Inputs'!$E$36,0)),MAX(0,U47+V23-V44))</f>
        <v>0.0</v>
      </c>
      <c r="W45" s="21">
        <f>MIN(MAX(0,IF(W$5&gt;='Inputs'!$E$35,'Inputs'!$E$36,0)),MAX(0,V47+W23-W44))</f>
        <v>0.0</v>
      </c>
      <c r="X45" s="21">
        <f>MIN(MAX(0,IF(X$5&gt;='Inputs'!$E$35,'Inputs'!$E$36,0)),MAX(0,W47+X23-X44))</f>
        <v>0.0</v>
      </c>
      <c r="Y45" s="21">
        <f>MIN(MAX(0,IF(Y$5&gt;='Inputs'!$E$35,'Inputs'!$E$36,0)),MAX(0,X47+Y23-Y44))</f>
        <v>0.0</v>
      </c>
      <c r="Z45" s="21">
        <f>MIN(MAX(0,IF(Z$5&gt;='Inputs'!$E$35,'Inputs'!$E$36,0)),MAX(0,Y47+Z23-Z44))</f>
        <v>0.0</v>
      </c>
      <c r="AA45" s="21">
        <f>MIN(MAX(0,IF(AA$5&gt;='Inputs'!$E$35,'Inputs'!$E$36,0)),MAX(0,Z47+AA23-AA44))</f>
        <v>0.0</v>
      </c>
      <c r="AB45" s="21">
        <f>MIN(MAX(0,IF(AB$5&gt;='Inputs'!$E$35,'Inputs'!$E$36,0)),MAX(0,AA47+AB23-AB44))</f>
        <v>0.0</v>
      </c>
      <c r="AC45" s="21">
        <f>MIN(MAX(0,IF(AC$5&gt;='Inputs'!$E$35,'Inputs'!$E$36,0)),MAX(0,AB47+AC23-AC44))</f>
        <v>0.0</v>
      </c>
      <c r="AD45" s="21">
        <f>MIN(MAX(0,IF(AD$5&gt;='Inputs'!$E$35,'Inputs'!$E$36,0)),MAX(0,AC47+AD23-AD44))</f>
        <v>0.0</v>
      </c>
      <c r="AE45" s="21">
        <f>MIN(MAX(0,IF(AE$5&gt;='Inputs'!$E$35,'Inputs'!$E$36,0)),MAX(0,AD47+AE23-AE44))</f>
        <v>0.0</v>
      </c>
      <c r="AF45" s="21">
        <f>MIN(MAX(0,IF(AF$5&gt;='Inputs'!$E$35,'Inputs'!$E$36,0)),MAX(0,AE47+AF23-AF44))</f>
        <v>0.0</v>
      </c>
      <c r="AG45" s="21">
        <f>MIN(MAX(0,IF(AG$5&gt;='Inputs'!$E$35,'Inputs'!$E$36,0)),MAX(0,AF47+AG23-AG44))</f>
        <v>0.0</v>
      </c>
      <c r="AH45" s="21">
        <f>MIN(MAX(0,IF(AH$5&gt;='Inputs'!$E$35,'Inputs'!$E$36,0)),MAX(0,AG47+AH23-AH44))</f>
        <v>0.0</v>
      </c>
      <c r="AI45" s="21">
        <f>MIN(MAX(0,IF(AI$5&gt;='Inputs'!$E$35,'Inputs'!$E$36,0)),MAX(0,AH47+AI23-AI44))</f>
        <v>0.0</v>
      </c>
      <c r="AJ45" s="21">
        <f>MIN(MAX(0,IF(AJ$5&gt;='Inputs'!$E$35,'Inputs'!$E$36,0)),MAX(0,AI47+AJ23-AJ44))</f>
        <v>0.0</v>
      </c>
      <c r="AK45" s="21">
        <f>MIN(MAX(0,IF(AK$5&gt;='Inputs'!$E$35,'Inputs'!$E$36,0)),MAX(0,AJ47+AK23-AK44))</f>
        <v>0.0</v>
      </c>
      <c r="AL45" s="21">
        <f>MIN(MAX(0,IF(AL$5&gt;='Inputs'!$E$35,'Inputs'!$E$36,0)),MAX(0,AK47+AL23-AL44))</f>
        <v>0.0</v>
      </c>
      <c r="AM45" s="21">
        <f>MIN(MAX(0,IF(AM$5&gt;='Inputs'!$E$35,'Inputs'!$E$36,0)),MAX(0,AL47+AM23-AM44))</f>
        <v>0.0</v>
      </c>
      <c r="AN45" s="21">
        <f>MIN(MAX(0,IF(AN$5&gt;='Inputs'!$E$35,'Inputs'!$E$36,0)),MAX(0,AM47+AN23-AN44))</f>
        <v>0.0</v>
      </c>
      <c r="AO45" s="21">
        <f>MIN(MAX(0,IF(AO$5&gt;='Inputs'!$E$35,'Inputs'!$E$36,0)),MAX(0,AN47+AO23-AO44))</f>
        <v>0.0</v>
      </c>
      <c r="AP45" s="21">
        <f>MIN(MAX(0,IF(AP$5&gt;='Inputs'!$E$35,'Inputs'!$E$36,0)),MAX(0,AO47+AP23-AP44))</f>
        <v>0.0</v>
      </c>
      <c r="AQ45" s="21">
        <f>MIN(MAX(0,IF(AQ$5&gt;='Inputs'!$E$35,'Inputs'!$E$36,0)),MAX(0,AP47+AQ23-AQ44))</f>
        <v>0.0</v>
      </c>
      <c r="AR45" s="21">
        <f>MIN(MAX(0,IF(AR$5&gt;='Inputs'!$E$35,'Inputs'!$E$36,0)),MAX(0,AQ47+AR23-AR44))</f>
        <v>0.0</v>
      </c>
      <c r="AS45" s="21">
        <f>MIN(MAX(0,IF(AS$5&gt;='Inputs'!$E$35,'Inputs'!$E$36,0)),MAX(0,AR47+AS23-AS44))</f>
        <v>0.0</v>
      </c>
      <c r="AT45" s="21">
        <f>MIN(MAX(0,IF(AT$5&gt;='Inputs'!$E$35,'Inputs'!$E$36,0)),MAX(0,AS47+AT23-AT44))</f>
        <v>0.0</v>
      </c>
      <c r="AU45" s="21">
        <f>MIN(MAX(0,IF(AU$5&gt;='Inputs'!$E$35,'Inputs'!$E$36,0)),MAX(0,AT47+AU23-AU44))</f>
        <v>0.0</v>
      </c>
    </row>
    <row r="46" spans="1:48">
      <c r="A46" s="5" t="s">
        <v>267</v>
      </c>
      <c r="B46" s="12" t="s">
        <v>49</v>
      </c>
      <c r="C46" s="14" t="s">
        <v>268</v>
      </c>
      <c r="D46" s="21">
        <f>D23-D44-D45</f>
        <v>0.0</v>
      </c>
      <c r="E46" s="21">
        <f>E23-E44-E45</f>
        <v>0.0</v>
      </c>
      <c r="F46" s="21">
        <f>F23-F44-F45</f>
        <v>0.0</v>
      </c>
      <c r="G46" s="21">
        <f>G23-G44-G45</f>
        <v>0.0</v>
      </c>
      <c r="H46" s="21">
        <f>H23-H44-H45</f>
        <v>0.0</v>
      </c>
      <c r="I46" s="21">
        <f>I23-I44-I45</f>
        <v>0.0</v>
      </c>
      <c r="J46" s="21">
        <f>J23-J44-J45</f>
        <v>0.0</v>
      </c>
      <c r="K46" s="21">
        <f>K23-K44-K45</f>
        <v>0.0</v>
      </c>
      <c r="L46" s="21">
        <f>L23-L44-L45</f>
        <v>0.0</v>
      </c>
      <c r="M46" s="21">
        <f>M23-M44-M45</f>
        <v>0.0</v>
      </c>
      <c r="N46" s="21">
        <f>N23-N44-N45</f>
        <v>0.0</v>
      </c>
      <c r="O46" s="21">
        <f>O23-O44-O45</f>
        <v>0.0</v>
      </c>
      <c r="P46" s="21">
        <f>P23-P44-P45</f>
        <v>0.0</v>
      </c>
      <c r="Q46" s="21">
        <f>Q23-Q44-Q45</f>
        <v>0.0</v>
      </c>
      <c r="R46" s="21">
        <f>R23-R44-R45</f>
        <v>0.0</v>
      </c>
      <c r="S46" s="21">
        <f>S23-S44-S45</f>
        <v>0.0</v>
      </c>
      <c r="T46" s="21">
        <f>T23-T44-T45</f>
        <v>0.0</v>
      </c>
      <c r="U46" s="21">
        <f>U23-U44-U45</f>
        <v>0.0</v>
      </c>
      <c r="V46" s="21">
        <f>V23-V44-V45</f>
        <v>0.0</v>
      </c>
      <c r="W46" s="21">
        <f>W23-W44-W45</f>
        <v>0.0</v>
      </c>
      <c r="X46" s="21">
        <f>X23-X44-X45</f>
        <v>0.0</v>
      </c>
      <c r="Y46" s="21">
        <f>Y23-Y44-Y45</f>
        <v>0.0</v>
      </c>
      <c r="Z46" s="21">
        <f>Z23-Z44-Z45</f>
        <v>0.0</v>
      </c>
      <c r="AA46" s="21">
        <f>AA23-AA44-AA45</f>
        <v>0.0</v>
      </c>
      <c r="AB46" s="21">
        <f>AB23-AB44-AB45</f>
        <v>0.0</v>
      </c>
      <c r="AC46" s="21">
        <f>AC23-AC44-AC45</f>
        <v>0.0</v>
      </c>
      <c r="AD46" s="21">
        <f>AD23-AD44-AD45</f>
        <v>0.0</v>
      </c>
      <c r="AE46" s="21">
        <f>AE23-AE44-AE45</f>
        <v>0.0</v>
      </c>
      <c r="AF46" s="21">
        <f>AF23-AF44-AF45</f>
        <v>0.0</v>
      </c>
      <c r="AG46" s="21">
        <f>AG23-AG44-AG45</f>
        <v>0.0</v>
      </c>
      <c r="AH46" s="21">
        <f>AH23-AH44-AH45</f>
        <v>0.0</v>
      </c>
      <c r="AI46" s="21">
        <f>AI23-AI44-AI45</f>
        <v>0.0</v>
      </c>
      <c r="AJ46" s="21">
        <f>AJ23-AJ44-AJ45</f>
        <v>0.0</v>
      </c>
      <c r="AK46" s="21">
        <f>AK23-AK44-AK45</f>
        <v>0.0</v>
      </c>
      <c r="AL46" s="21">
        <f>AL23-AL44-AL45</f>
        <v>0.0</v>
      </c>
      <c r="AM46" s="21">
        <f>AM23-AM44-AM45</f>
        <v>0.0</v>
      </c>
      <c r="AN46" s="21">
        <f>AN23-AN44-AN45</f>
        <v>0.0</v>
      </c>
      <c r="AO46" s="21">
        <f>AO23-AO44-AO45</f>
        <v>0.0</v>
      </c>
      <c r="AP46" s="21">
        <f>AP23-AP44-AP45</f>
        <v>0.0</v>
      </c>
      <c r="AQ46" s="21">
        <f>AQ23-AQ44-AQ45</f>
        <v>0.0</v>
      </c>
      <c r="AR46" s="21">
        <f>AR23-AR44-AR45</f>
        <v>0.0</v>
      </c>
      <c r="AS46" s="21">
        <f>AS23-AS44-AS45</f>
        <v>0.0</v>
      </c>
      <c r="AT46" s="21">
        <f>AT23-AT44-AT45</f>
        <v>0.0</v>
      </c>
      <c r="AU46" s="21">
        <f>AU23-AU44-AU45</f>
        <v>0.0</v>
      </c>
    </row>
    <row r="47" spans="1:48">
      <c r="A47" s="19" t="s">
        <v>269</v>
      </c>
      <c r="B47" s="12" t="s">
        <v>119</v>
      </c>
      <c r="C47" s="14" t="s">
        <v>270</v>
      </c>
      <c r="D47" s="20">
        <f>'Inputs'!$E$34+D46</f>
        <v>0.0</v>
      </c>
      <c r="E47" s="20">
        <f>D47+E46</f>
        <v>0.0</v>
      </c>
      <c r="F47" s="20">
        <f>E47+F46</f>
        <v>0.0</v>
      </c>
      <c r="G47" s="20">
        <f>F47+G46</f>
        <v>0.0</v>
      </c>
      <c r="H47" s="20">
        <f>G47+H46</f>
        <v>0.0</v>
      </c>
      <c r="I47" s="20">
        <f>H47+I46</f>
        <v>0.0</v>
      </c>
      <c r="J47" s="20">
        <f>I47+J46</f>
        <v>0.0</v>
      </c>
      <c r="K47" s="20">
        <f>J47+K46</f>
        <v>0.0</v>
      </c>
      <c r="L47" s="20">
        <f>K47+L46</f>
        <v>0.0</v>
      </c>
      <c r="M47" s="20">
        <f>L47+M46</f>
        <v>0.0</v>
      </c>
      <c r="N47" s="20">
        <f>M47+N46</f>
        <v>0.0</v>
      </c>
      <c r="O47" s="20">
        <f>N47+O46</f>
        <v>0.0</v>
      </c>
      <c r="P47" s="20">
        <f>O47+P46</f>
        <v>0.0</v>
      </c>
      <c r="Q47" s="20">
        <f>P47+Q46</f>
        <v>0.0</v>
      </c>
      <c r="R47" s="20">
        <f>Q47+R46</f>
        <v>0.0</v>
      </c>
      <c r="S47" s="20">
        <f>R47+S46</f>
        <v>0.0</v>
      </c>
      <c r="T47" s="20">
        <f>S47+T46</f>
        <v>0.0</v>
      </c>
      <c r="U47" s="20">
        <f>T47+U46</f>
        <v>0.0</v>
      </c>
      <c r="V47" s="20">
        <f>U47+V46</f>
        <v>0.0</v>
      </c>
      <c r="W47" s="20">
        <f>V47+W46</f>
        <v>0.0</v>
      </c>
      <c r="X47" s="20">
        <f>W47+X46</f>
        <v>0.0</v>
      </c>
      <c r="Y47" s="20">
        <f>X47+Y46</f>
        <v>0.0</v>
      </c>
      <c r="Z47" s="20">
        <f>Y47+Z46</f>
        <v>0.0</v>
      </c>
      <c r="AA47" s="20">
        <f>Z47+AA46</f>
        <v>0.0</v>
      </c>
      <c r="AB47" s="20">
        <f>AA47+AB46</f>
        <v>0.0</v>
      </c>
      <c r="AC47" s="20">
        <f>AB47+AC46</f>
        <v>0.0</v>
      </c>
      <c r="AD47" s="20">
        <f>AC47+AD46</f>
        <v>0.0</v>
      </c>
      <c r="AE47" s="20">
        <f>AD47+AE46</f>
        <v>0.0</v>
      </c>
      <c r="AF47" s="20">
        <f>AE47+AF46</f>
        <v>0.0</v>
      </c>
      <c r="AG47" s="20">
        <f>AF47+AG46</f>
        <v>0.0</v>
      </c>
      <c r="AH47" s="20">
        <f>AG47+AH46</f>
        <v>0.0</v>
      </c>
      <c r="AI47" s="20">
        <f>AH47+AI46</f>
        <v>0.0</v>
      </c>
      <c r="AJ47" s="20">
        <f>AI47+AJ46</f>
        <v>0.0</v>
      </c>
      <c r="AK47" s="20">
        <f>AJ47+AK46</f>
        <v>0.0</v>
      </c>
      <c r="AL47" s="20">
        <f>AK47+AL46</f>
        <v>0.0</v>
      </c>
      <c r="AM47" s="20">
        <f>AL47+AM46</f>
        <v>0.0</v>
      </c>
      <c r="AN47" s="20">
        <f>AM47+AN46</f>
        <v>0.0</v>
      </c>
      <c r="AO47" s="20">
        <f>AN47+AO46</f>
        <v>0.0</v>
      </c>
      <c r="AP47" s="20">
        <f>AO47+AP46</f>
        <v>0.0</v>
      </c>
      <c r="AQ47" s="20">
        <f>AP47+AQ46</f>
        <v>0.0</v>
      </c>
      <c r="AR47" s="20">
        <f>AQ47+AR46</f>
        <v>0.0</v>
      </c>
      <c r="AS47" s="20">
        <f>AR47+AS46</f>
        <v>0.0</v>
      </c>
      <c r="AT47" s="20">
        <f>AS47+AT46</f>
        <v>0.0</v>
      </c>
      <c r="AU47" s="20">
        <f>AT47+AU46</f>
        <v>0.0</v>
      </c>
    </row>
    <row r="48" spans="1:48">
      <c r="A48" s="19" t="s">
        <v>271</v>
      </c>
      <c r="B48" s="12" t="s">
        <v>49</v>
      </c>
      <c r="C48" s="14" t="s">
        <v>272</v>
      </c>
      <c r="D48" s="20">
        <f>D42+D23-D44-D45</f>
        <v>-523.2668400000011</v>
      </c>
      <c r="E48" s="20">
        <f>E42+E23-E44-E45</f>
        <v>-481.2010083999985</v>
      </c>
      <c r="F48" s="20">
        <f>F42+F23-F44-F45</f>
        <v>-438.6337884839986</v>
      </c>
      <c r="G48" s="20">
        <f>G42+G23-G44-G45</f>
        <v>-3880.4589554188406</v>
      </c>
      <c r="H48" s="20">
        <f>H42+H23-H44-H45</f>
        <v>-3836.870203958777</v>
      </c>
      <c r="I48" s="20">
        <f>I42+I23-I44-I45</f>
        <v>58.62446181893574</v>
      </c>
      <c r="J48" s="20">
        <f>J42+J23-J44-J45</f>
        <v>2636.428413192456</v>
      </c>
      <c r="K48" s="20">
        <f>K42+K23-K44-K45</f>
        <v>5202.242702368407</v>
      </c>
      <c r="L48" s="20">
        <f>L42+L23-L44-L45</f>
        <v>10613.955873950195</v>
      </c>
      <c r="M48" s="20">
        <f>M42+M23-M44-M45</f>
        <v>12768.139930640333</v>
      </c>
      <c r="N48" s="20">
        <f>N42+N23-N44-N45</f>
        <v>14913.923684210527</v>
      </c>
      <c r="O48" s="20">
        <f>O42+O23-O44-O45</f>
        <v>16897.7447368421</v>
      </c>
      <c r="P48" s="20">
        <f>P42+P23-P44-P45</f>
        <v>16847.136236842103</v>
      </c>
      <c r="Q48" s="20">
        <f>Q42+Q23-Q44-Q45</f>
        <v>16847.136236842103</v>
      </c>
      <c r="R48" s="20">
        <f>R42+R23-R44-R45</f>
        <v>16847.136236842103</v>
      </c>
      <c r="S48" s="20">
        <f>S42+S23-S44-S45</f>
        <v>19697.694131578955</v>
      </c>
      <c r="T48" s="20">
        <f>T42+T23-T44-T45</f>
        <v>19697.694131578948</v>
      </c>
      <c r="U48" s="20">
        <f>U42+U23-U44-U45</f>
        <v>19697.694131578948</v>
      </c>
      <c r="V48" s="20">
        <f>V42+V23-V44-V45</f>
        <v>19697.694131578948</v>
      </c>
      <c r="W48" s="20">
        <f>W42+W23-W44-W45</f>
        <v>19697.694131578948</v>
      </c>
      <c r="X48" s="20">
        <f>X42+X23-X44-X45</f>
        <v>19697.69413157894</v>
      </c>
      <c r="Y48" s="20">
        <f>Y42+Y23-Y44-Y45</f>
        <v>19697.694131578948</v>
      </c>
      <c r="Z48" s="20">
        <f>Z42+Z23-Z44-Z45</f>
        <v>19697.694131578948</v>
      </c>
      <c r="AA48" s="20">
        <f>AA42+AA23-AA44-AA45</f>
        <v>19697.694131578948</v>
      </c>
      <c r="AB48" s="20">
        <f>AB42+AB23-AB44-AB45</f>
        <v>19645.567376578947</v>
      </c>
      <c r="AC48" s="20">
        <f>AC42+AC23-AC44-AC45</f>
        <v>19645.567376578947</v>
      </c>
      <c r="AD48" s="20">
        <f>AD42+AD23-AD44-AD45</f>
        <v>19645.567376578947</v>
      </c>
      <c r="AE48" s="20">
        <f>AE42+AE23-AE44-AE45</f>
        <v>19645.567376578947</v>
      </c>
      <c r="AF48" s="20">
        <f>AF42+AF23-AF44-AF45</f>
        <v>19645.567376578947</v>
      </c>
      <c r="AG48" s="20">
        <f>AG42+AG23-AG44-AG45</f>
        <v>19645.567376578954</v>
      </c>
      <c r="AH48" s="20">
        <f>AH42+AH23-AH44-AH45</f>
        <v>19645.567376578947</v>
      </c>
      <c r="AI48" s="20">
        <f>AI42+AI23-AI44-AI45</f>
        <v>19645.56737657894</v>
      </c>
      <c r="AJ48" s="20">
        <f>AJ42+AJ23-AJ44-AJ45</f>
        <v>19645.567376578947</v>
      </c>
      <c r="AK48" s="20">
        <f>AK42+AK23-AK44-AK45</f>
        <v>19645.567376578947</v>
      </c>
      <c r="AL48" s="20">
        <f>AL42+AL23-AL44-AL45</f>
        <v>19645.567376578947</v>
      </c>
      <c r="AM48" s="20">
        <f>AM42+AM23-AM44-AM45</f>
        <v>19645.567376578947</v>
      </c>
      <c r="AN48" s="20">
        <f>AN42+AN23-AN44-AN45</f>
        <v>19591.876818928948</v>
      </c>
      <c r="AO48" s="20">
        <f>AO42+AO23-AO44-AO45</f>
        <v>19591.876818928948</v>
      </c>
      <c r="AP48" s="20">
        <f>AP42+AP23-AP44-AP45</f>
        <v>19591.876818928948</v>
      </c>
      <c r="AQ48" s="20">
        <f>AQ42+AQ23-AQ44-AQ45</f>
        <v>19591.876818928948</v>
      </c>
      <c r="AR48" s="20">
        <f>AR42+AR23-AR44-AR45</f>
        <v>19591.876818928948</v>
      </c>
      <c r="AS48" s="20">
        <f>AS42+AS23-AS44-AS45</f>
        <v>19591.87681892894</v>
      </c>
      <c r="AT48" s="20">
        <f>AT42+AT23-AT44-AT45</f>
        <v>19591.876818928948</v>
      </c>
      <c r="AU48" s="20">
        <f>AU42+AU23-AU44-AU45</f>
        <v>19591.876818928948</v>
      </c>
    </row>
    <row r="49" spans="1:47">
      <c r="A49" s="19" t="s">
        <v>273</v>
      </c>
      <c r="B49" s="12" t="s">
        <v>119</v>
      </c>
      <c r="C49" s="14" t="s">
        <v>274</v>
      </c>
      <c r="D49" s="20">
        <f>'Inputs'!$E$40+D48</f>
        <v>-421.0368400000011</v>
      </c>
      <c r="E49" s="20">
        <f>D49+E48</f>
        <v>-902.2378483999996</v>
      </c>
      <c r="F49" s="20">
        <f>E49+F48</f>
        <v>-1340.8716368839982</v>
      </c>
      <c r="G49" s="20">
        <f>F49+G48</f>
        <v>-5221.330592302838</v>
      </c>
      <c r="H49" s="20">
        <f>G49+H48</f>
        <v>-9058.200796261615</v>
      </c>
      <c r="I49" s="20">
        <f>H49+I48</f>
        <v>-8999.57633444268</v>
      </c>
      <c r="J49" s="20">
        <f>I49+J48</f>
        <v>-6363.147921250224</v>
      </c>
      <c r="K49" s="20">
        <f>J49+K48</f>
        <v>-1160.9052188818168</v>
      </c>
      <c r="L49" s="20">
        <f>K49+L48</f>
        <v>9453.050655068379</v>
      </c>
      <c r="M49" s="20">
        <f>L49+M48</f>
        <v>22221.19058570871</v>
      </c>
      <c r="N49" s="20">
        <f>M49+N48</f>
        <v>37135.11426991924</v>
      </c>
      <c r="O49" s="20">
        <f>N49+O48</f>
        <v>54032.85900676134</v>
      </c>
      <c r="P49" s="20">
        <f>O49+P48</f>
        <v>70879.99524360345</v>
      </c>
      <c r="Q49" s="20">
        <f>P49+Q48</f>
        <v>87727.13148044556</v>
      </c>
      <c r="R49" s="20">
        <f>Q49+R48</f>
        <v>104574.26771728767</v>
      </c>
      <c r="S49" s="20">
        <f>R49+S48</f>
        <v>124271.96184886663</v>
      </c>
      <c r="T49" s="20">
        <f>S49+T48</f>
        <v>143969.6559804456</v>
      </c>
      <c r="U49" s="20">
        <f>T49+U48</f>
        <v>163667.35011202455</v>
      </c>
      <c r="V49" s="20">
        <f>U49+V48</f>
        <v>183365.0442436035</v>
      </c>
      <c r="W49" s="20">
        <f>V49+W48</f>
        <v>203062.73837518247</v>
      </c>
      <c r="X49" s="20">
        <f>W49+X48</f>
        <v>222760.4325067614</v>
      </c>
      <c r="Y49" s="20">
        <f>X49+Y48</f>
        <v>242458.12663834036</v>
      </c>
      <c r="Z49" s="20">
        <f>Y49+Z48</f>
        <v>262155.8207699193</v>
      </c>
      <c r="AA49" s="20">
        <f>Z49+AA48</f>
        <v>281853.5149014983</v>
      </c>
      <c r="AB49" s="20">
        <f>AA49+AB48</f>
        <v>301499.0822780772</v>
      </c>
      <c r="AC49" s="20">
        <f>AB49+AC48</f>
        <v>321144.6496546561</v>
      </c>
      <c r="AD49" s="20">
        <f>AC49+AD48</f>
        <v>340790.21703123505</v>
      </c>
      <c r="AE49" s="20">
        <f>AD49+AE48</f>
        <v>360435.784407814</v>
      </c>
      <c r="AF49" s="20">
        <f>AE49+AF48</f>
        <v>380081.3517843929</v>
      </c>
      <c r="AG49" s="20">
        <f>AF49+AG48</f>
        <v>399726.9191609719</v>
      </c>
      <c r="AH49" s="20">
        <f>AG49+AH48</f>
        <v>419372.4865375508</v>
      </c>
      <c r="AI49" s="20">
        <f>AH49+AI48</f>
        <v>439018.05391412973</v>
      </c>
      <c r="AJ49" s="20">
        <f>AI49+AJ48</f>
        <v>458663.62129070866</v>
      </c>
      <c r="AK49" s="20">
        <f>AJ49+AK48</f>
        <v>478309.1886672876</v>
      </c>
      <c r="AL49" s="20">
        <f>AK49+AL48</f>
        <v>497954.7560438665</v>
      </c>
      <c r="AM49" s="20">
        <f>AL49+AM48</f>
        <v>517600.32342044543</v>
      </c>
      <c r="AN49" s="20">
        <f>AM49+AN48</f>
        <v>537192.2002393744</v>
      </c>
      <c r="AO49" s="20">
        <f>AN49+AO48</f>
        <v>556784.0770583034</v>
      </c>
      <c r="AP49" s="20">
        <f>AO49+AP48</f>
        <v>576375.9538772324</v>
      </c>
      <c r="AQ49" s="20">
        <f>AP49+AQ48</f>
        <v>595967.8306961614</v>
      </c>
      <c r="AR49" s="20">
        <f>AQ49+AR48</f>
        <v>615559.7075150904</v>
      </c>
      <c r="AS49" s="20">
        <f>AR49+AS48</f>
        <v>635151.5843340193</v>
      </c>
      <c r="AT49" s="20">
        <f>AS49+AT48</f>
        <v>654743.4611529483</v>
      </c>
      <c r="AU49" s="20">
        <f>AT49+AU48</f>
        <v>674335.3379718773</v>
      </c>
    </row>
  </sheetData>
  <mergeCells count="7">
    <mergeCell ref="A1:AU1"/>
    <mergeCell ref="A2:AU2"/>
    <mergeCell ref="A3:AV3"/>
    <mergeCell ref="A6:AV6"/>
    <mergeCell ref="A17:AV17"/>
    <mergeCell ref="A27:AV27"/>
    <mergeCell ref="A39:AV39"/>
  </mergeCells>
  <conditionalFormatting sqref="D26:AU26">
    <cfRule type="cellIs" dxfId="0" priority="1" operator="lessThan">
      <formula>0.3</formula>
    </cfRule>
    <cfRule type="cellIs" dxfId="1" priority="2" operator="greaterThanOrEqual">
      <formula>0.3</formula>
    </cfRule>
  </conditionalFormatting>
  <conditionalFormatting sqref="D35:AU35">
    <cfRule type="cellIs" dxfId="0" priority="3" operator="lessThanOrEqual">
      <formula>0.095</formula>
    </cfRule>
    <cfRule type="cellIs" dxfId="1" priority="4" operator="greaterThan">
      <formula>0.095</formula>
    </cfRule>
  </conditionalFormatting>
  <conditionalFormatting sqref="D43:AU43">
    <cfRule type="cellIs" dxfId="0" priority="5" operator="greaterThanOrEqual">
      <formula>0</formula>
    </cfRule>
    <cfRule type="cellIs" dxfId="1" priority="6" operator="lessThan">
      <formula>0</formula>
    </cfRule>
  </conditionalFormatting>
  <pageMargins left="0.7" right="0.7" top="0.75" bottom="0.75" header="0.3" footer="0.3"/>
  <pageSetup fitToHeight="2" orientation="landscape"/>
  <headerFooter>
    <oddHeader>&amp;LLocal Effort Cooperative&amp;C608 Smith Avenue Pro Forma&amp;R&amp;D</oddHeader>
    <oddFooter>&amp;LInternal planning model&amp;CPage &amp;P of &amp;N&amp;RUpdated 2026-10-01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A7F78"/>
    <pageSetUpPr fitToPage="1"/>
  </sheetPr>
  <dimension ref="A1:AV4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34.7109375" customWidth="1"/>
    <col min="2" max="2" width="14.7109375" customWidth="1"/>
    <col min="3" max="3" width="32.7109375" customWidth="1"/>
    <col min="4" max="47" width="12.7109375" customWidth="1"/>
  </cols>
  <sheetData>
    <row r="1" spans="1:48" ht="30" customHeight="1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8">
      <c r="A2" s="2" t="s">
        <v>278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8">
      <c r="A3" s="11" t="s">
        <v>191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</row>
    <row r="5" spans="1:48">
      <c r="A5" s="4" t="s">
        <v>192</v>
      </c>
      <c r="B5" s="4" t="s">
        <v>44</v>
      </c>
      <c r="C5" s="4" t="s">
        <v>193</v>
      </c>
      <c r="D5" s="18">
        <v>46296</v>
      </c>
      <c r="E5" s="18">
        <v>46327</v>
      </c>
      <c r="F5" s="18">
        <v>46357</v>
      </c>
      <c r="G5" s="18">
        <v>46388</v>
      </c>
      <c r="H5" s="18">
        <v>46419</v>
      </c>
      <c r="I5" s="18">
        <v>46447</v>
      </c>
      <c r="J5" s="18">
        <v>46478</v>
      </c>
      <c r="K5" s="18">
        <v>46508</v>
      </c>
      <c r="L5" s="18">
        <v>46539</v>
      </c>
      <c r="M5" s="18">
        <v>46569</v>
      </c>
      <c r="N5" s="18">
        <v>46600</v>
      </c>
      <c r="O5" s="18">
        <v>46631</v>
      </c>
      <c r="P5" s="18">
        <v>46661</v>
      </c>
      <c r="Q5" s="18">
        <v>46692</v>
      </c>
      <c r="R5" s="18">
        <v>46722</v>
      </c>
      <c r="S5" s="18">
        <v>46753</v>
      </c>
      <c r="T5" s="18">
        <v>46784</v>
      </c>
      <c r="U5" s="18">
        <v>46813</v>
      </c>
      <c r="V5" s="18">
        <v>46844</v>
      </c>
      <c r="W5" s="18">
        <v>46874</v>
      </c>
      <c r="X5" s="18">
        <v>46905</v>
      </c>
      <c r="Y5" s="18">
        <v>46935</v>
      </c>
      <c r="Z5" s="18">
        <v>46966</v>
      </c>
      <c r="AA5" s="18">
        <v>46997</v>
      </c>
      <c r="AB5" s="18">
        <v>47027</v>
      </c>
      <c r="AC5" s="18">
        <v>47058</v>
      </c>
      <c r="AD5" s="18">
        <v>47088</v>
      </c>
      <c r="AE5" s="18">
        <v>47119</v>
      </c>
      <c r="AF5" s="18">
        <v>47150</v>
      </c>
      <c r="AG5" s="18">
        <v>47178</v>
      </c>
      <c r="AH5" s="18">
        <v>47209</v>
      </c>
      <c r="AI5" s="18">
        <v>47239</v>
      </c>
      <c r="AJ5" s="18">
        <v>47270</v>
      </c>
      <c r="AK5" s="18">
        <v>47300</v>
      </c>
      <c r="AL5" s="18">
        <v>47331</v>
      </c>
      <c r="AM5" s="18">
        <v>47362</v>
      </c>
      <c r="AN5" s="18">
        <v>47392</v>
      </c>
      <c r="AO5" s="18">
        <v>47423</v>
      </c>
      <c r="AP5" s="18">
        <v>47453</v>
      </c>
      <c r="AQ5" s="18">
        <v>47484</v>
      </c>
      <c r="AR5" s="18">
        <v>47515</v>
      </c>
      <c r="AS5" s="18">
        <v>47543</v>
      </c>
      <c r="AT5" s="18">
        <v>47574</v>
      </c>
      <c r="AU5" s="18">
        <v>47604</v>
      </c>
    </row>
    <row r="6" spans="1:48">
      <c r="A6" s="3" t="s">
        <v>194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</row>
    <row r="7" spans="1:48">
      <c r="A7" s="5" t="s">
        <v>198</v>
      </c>
      <c r="B7" s="12" t="s">
        <v>49</v>
      </c>
      <c r="C7" s="14" t="s">
        <v>199</v>
      </c>
      <c r="D7" s="21">
        <f>'Inputs'!$F$18*POWER(1+'Inputs'!$F$19,0)</f>
        <v>4334.42</v>
      </c>
      <c r="E7" s="21">
        <f>'Inputs'!$F$18*POWER(1+'Inputs'!$F$19,1)</f>
        <v>4421.1084</v>
      </c>
      <c r="F7" s="21">
        <f>'Inputs'!$F$18*POWER(1+'Inputs'!$F$19,2)</f>
        <v>4509.530568</v>
      </c>
      <c r="G7" s="21">
        <f>'Inputs'!$F$18*POWER(1+'Inputs'!$F$19,3)</f>
        <v>4599.721179360001</v>
      </c>
      <c r="H7" s="21">
        <f>'Inputs'!$F$18*POWER(1+'Inputs'!$F$19,4)</f>
        <v>4691.7156029472</v>
      </c>
      <c r="I7" s="21">
        <f>'Inputs'!$F$18*POWER(1+'Inputs'!$F$19,5)</f>
        <v>4785.549915006144</v>
      </c>
      <c r="J7" s="21">
        <f>'Inputs'!$F$18*POWER(1+'Inputs'!$F$19,6)</f>
        <v>4881.260913306267</v>
      </c>
      <c r="K7" s="21">
        <f>'Inputs'!$F$18*POWER(1+'Inputs'!$F$19,7)</f>
        <v>4978.8861315723925</v>
      </c>
      <c r="L7" s="21">
        <f>'Inputs'!$F$18*POWER(1+'Inputs'!$F$19,8)</f>
        <v>5078.463854203841</v>
      </c>
      <c r="M7" s="21">
        <f>'Inputs'!$F$18*POWER(1+'Inputs'!$F$19,9)</f>
        <v>5180.033131287918</v>
      </c>
      <c r="N7" s="21">
        <f>'Inputs'!$F$18*POWER(1+'Inputs'!$F$19,10)</f>
        <v>5283.6337939136765</v>
      </c>
      <c r="O7" s="21">
        <f>'Inputs'!$F$18*POWER(1+'Inputs'!$F$19,11)</f>
        <v>5389.30646979195</v>
      </c>
      <c r="P7" s="21">
        <f>'Inputs'!$F$18*POWER(1+'Inputs'!$F$19,12)</f>
        <v>5497.092599187788</v>
      </c>
      <c r="Q7" s="21">
        <f>'Inputs'!$F$18*POWER(1+'Inputs'!$F$19,13)</f>
        <v>5607.034451171545</v>
      </c>
      <c r="R7" s="21">
        <f>'Inputs'!$F$18*POWER(1+'Inputs'!$F$19,14)</f>
        <v>5719.175140194975</v>
      </c>
      <c r="S7" s="21">
        <f>'Inputs'!$F$18*POWER(1+'Inputs'!$F$19,15)</f>
        <v>5833.558642998875</v>
      </c>
      <c r="T7" s="21">
        <f>'Inputs'!$F$18*POWER(1+'Inputs'!$F$19,16)</f>
        <v>5950.229815858853</v>
      </c>
      <c r="U7" s="21">
        <f>'Inputs'!$F$18*POWER(1+'Inputs'!$F$19,17)</f>
        <v>6069.23441217603</v>
      </c>
      <c r="V7" s="21">
        <f>'Inputs'!$F$18*POWER(1+'Inputs'!$F$19,18)</f>
        <v>6190.619100419551</v>
      </c>
      <c r="W7" s="21">
        <f>'Inputs'!$F$18*POWER(1+'Inputs'!$F$19,19)</f>
        <v>6314.431482427942</v>
      </c>
      <c r="X7" s="21">
        <f>'Inputs'!$F$18*POWER(1+'Inputs'!$F$19,20)</f>
        <v>6440.720112076501</v>
      </c>
      <c r="Y7" s="21">
        <f>'Inputs'!$F$18*POWER(1+'Inputs'!$F$19,21)</f>
        <v>6569.53451431803</v>
      </c>
      <c r="Z7" s="21">
        <f>'Inputs'!$F$18*POWER(1+'Inputs'!$F$19,22)</f>
        <v>6700.925204604391</v>
      </c>
      <c r="AA7" s="21">
        <f>'Inputs'!$F$18*POWER(1+'Inputs'!$F$19,23)</f>
        <v>6834.94370869648</v>
      </c>
      <c r="AB7" s="21">
        <f>'Inputs'!$F$18*POWER(1+'Inputs'!$F$19,24)</f>
        <v>6971.64258287041</v>
      </c>
      <c r="AC7" s="21">
        <f>'Inputs'!$F$18*POWER(1+'Inputs'!$F$19,25)</f>
        <v>7111.075434527818</v>
      </c>
      <c r="AD7" s="21">
        <f>'Inputs'!$F$18*POWER(1+'Inputs'!$F$19,26)</f>
        <v>7253.2969432183745</v>
      </c>
      <c r="AE7" s="21">
        <f>'Inputs'!$F$18*POWER(1+'Inputs'!$F$19,27)</f>
        <v>7398.362882082742</v>
      </c>
      <c r="AF7" s="21">
        <f>'Inputs'!$F$18*POWER(1+'Inputs'!$F$19,28)</f>
        <v>7546.330139724398</v>
      </c>
      <c r="AG7" s="21">
        <f>'Inputs'!$F$18*POWER(1+'Inputs'!$F$19,29)</f>
        <v>7697.256742518885</v>
      </c>
      <c r="AH7" s="21">
        <f>'Inputs'!$F$18*POWER(1+'Inputs'!$F$19,30)</f>
        <v>7851.2018773692635</v>
      </c>
      <c r="AI7" s="21">
        <f>'Inputs'!$F$18*POWER(1+'Inputs'!$F$19,31)</f>
        <v>8008.225914916648</v>
      </c>
      <c r="AJ7" s="21">
        <f>'Inputs'!$F$18*POWER(1+'Inputs'!$F$19,32)</f>
        <v>8168.390433214981</v>
      </c>
      <c r="AK7" s="21">
        <f>'Inputs'!$F$18*POWER(1+'Inputs'!$F$19,33)</f>
        <v>8331.75824187928</v>
      </c>
      <c r="AL7" s="21">
        <f>'Inputs'!$F$18*POWER(1+'Inputs'!$F$19,34)</f>
        <v>8498.393406716867</v>
      </c>
      <c r="AM7" s="21">
        <f>'Inputs'!$F$18*POWER(1+'Inputs'!$F$19,35)</f>
        <v>8668.361274851204</v>
      </c>
      <c r="AN7" s="21">
        <f>'Inputs'!$F$18*POWER(1+'Inputs'!$F$19,36)</f>
        <v>8841.728500348228</v>
      </c>
      <c r="AO7" s="21">
        <f>'Inputs'!$F$18*POWER(1+'Inputs'!$F$19,37)</f>
        <v>9018.563070355194</v>
      </c>
      <c r="AP7" s="21">
        <f>'Inputs'!$F$18*POWER(1+'Inputs'!$F$19,38)</f>
        <v>9198.934331762297</v>
      </c>
      <c r="AQ7" s="21">
        <f>'Inputs'!$F$18*POWER(1+'Inputs'!$F$19,39)</f>
        <v>9382.913018397543</v>
      </c>
      <c r="AR7" s="21">
        <f>'Inputs'!$F$18*POWER(1+'Inputs'!$F$19,40)</f>
        <v>9570.571278765494</v>
      </c>
      <c r="AS7" s="21">
        <f>'Inputs'!$F$18*POWER(1+'Inputs'!$F$19,41)</f>
        <v>9761.982704340806</v>
      </c>
      <c r="AT7" s="21">
        <f>'Inputs'!$F$18*POWER(1+'Inputs'!$F$19,42)</f>
        <v>9957.22235842762</v>
      </c>
      <c r="AU7" s="21">
        <f>'Inputs'!$F$18*POWER(1+'Inputs'!$F$19,43)</f>
        <v>10156.366805596173</v>
      </c>
    </row>
    <row r="8" spans="1:48">
      <c r="A8" s="5" t="s">
        <v>200</v>
      </c>
      <c r="B8" s="12" t="s">
        <v>49</v>
      </c>
      <c r="C8" s="14" t="s">
        <v>201</v>
      </c>
      <c r="D8" s="21">
        <f>'Inputs'!$F$20*POWER(1+'Inputs'!$F$22,0)*'Inputs'!$F$21</f>
        <v>3850.0</v>
      </c>
      <c r="E8" s="21">
        <f>'Inputs'!$F$20*POWER(1+'Inputs'!$F$22,1)*'Inputs'!$F$21</f>
        <v>3965.5</v>
      </c>
      <c r="F8" s="21">
        <f>'Inputs'!$F$20*POWER(1+'Inputs'!$F$22,2)*'Inputs'!$F$21</f>
        <v>4084.465</v>
      </c>
      <c r="G8" s="21">
        <f>'Inputs'!$F$20*POWER(1+'Inputs'!$F$22,3)*'Inputs'!$F$21</f>
        <v>4206.99895</v>
      </c>
      <c r="H8" s="21">
        <f>'Inputs'!$F$20*POWER(1+'Inputs'!$F$22,4)*'Inputs'!$F$21</f>
        <v>4333.2089185</v>
      </c>
      <c r="I8" s="21">
        <f>'Inputs'!$F$20*POWER(1+'Inputs'!$F$22,5)*'Inputs'!$F$21</f>
        <v>4463.205186055</v>
      </c>
      <c r="J8" s="21">
        <f>'Inputs'!$F$20*POWER(1+'Inputs'!$F$22,6)*'Inputs'!$F$21</f>
        <v>4597.10134163665</v>
      </c>
      <c r="K8" s="21">
        <f>'Inputs'!$F$20*POWER(1+'Inputs'!$F$22,7)*'Inputs'!$F$21</f>
        <v>4735.0143818857505</v>
      </c>
      <c r="L8" s="21">
        <f>'Inputs'!$F$20*POWER(1+'Inputs'!$F$22,8)*'Inputs'!$F$21</f>
        <v>4877.064813342323</v>
      </c>
      <c r="M8" s="21">
        <f>'Inputs'!$F$20*POWER(1+'Inputs'!$F$22,9)*'Inputs'!$F$21</f>
        <v>5023.376757742593</v>
      </c>
      <c r="N8" s="21">
        <f>'Inputs'!$F$20*POWER(1+'Inputs'!$F$22,10)*'Inputs'!$F$21</f>
        <v>5174.078060474871</v>
      </c>
      <c r="O8" s="21">
        <f>'Inputs'!$F$20*POWER(1+'Inputs'!$F$22,11)*'Inputs'!$F$21</f>
        <v>5329.300402289117</v>
      </c>
      <c r="P8" s="21">
        <f>'Inputs'!$F$20*POWER(1+'Inputs'!$F$22,12)*'Inputs'!$F$21</f>
        <v>5489.17941435779</v>
      </c>
      <c r="Q8" s="21">
        <f>'Inputs'!$F$20*POWER(1+'Inputs'!$F$22,13)*'Inputs'!$F$21</f>
        <v>5653.854796788524</v>
      </c>
      <c r="R8" s="21">
        <f>'Inputs'!$F$20*POWER(1+'Inputs'!$F$22,14)*'Inputs'!$F$21</f>
        <v>5823.470440692181</v>
      </c>
      <c r="S8" s="21">
        <f>'Inputs'!$F$20*POWER(1+'Inputs'!$F$22,15)*'Inputs'!$F$21</f>
        <v>5998.174553912946</v>
      </c>
      <c r="T8" s="21">
        <f>'Inputs'!$F$20*POWER(1+'Inputs'!$F$22,16)*'Inputs'!$F$21</f>
        <v>6178.119790530334</v>
      </c>
      <c r="U8" s="21">
        <f>'Inputs'!$F$20*POWER(1+'Inputs'!$F$22,17)*'Inputs'!$F$21</f>
        <v>6363.4633842462445</v>
      </c>
      <c r="V8" s="21">
        <f>'Inputs'!$F$20*POWER(1+'Inputs'!$F$22,18)*'Inputs'!$F$21</f>
        <v>6554.367285773632</v>
      </c>
      <c r="W8" s="21">
        <f>'Inputs'!$F$20*POWER(1+'Inputs'!$F$22,19)*'Inputs'!$F$21</f>
        <v>6750.998304346842</v>
      </c>
      <c r="X8" s="21">
        <f>'Inputs'!$F$20*POWER(1+'Inputs'!$F$22,20)*'Inputs'!$F$21</f>
        <v>6953.528253477247</v>
      </c>
      <c r="Y8" s="21">
        <f>'Inputs'!$F$20*POWER(1+'Inputs'!$F$22,21)*'Inputs'!$F$21</f>
        <v>7162.134101081564</v>
      </c>
      <c r="Z8" s="21">
        <f>'Inputs'!$F$20*POWER(1+'Inputs'!$F$22,22)*'Inputs'!$F$21</f>
        <v>7376.998124114011</v>
      </c>
      <c r="AA8" s="21">
        <f>'Inputs'!$F$20*POWER(1+'Inputs'!$F$22,23)*'Inputs'!$F$21</f>
        <v>7598.308067837433</v>
      </c>
      <c r="AB8" s="21">
        <f>'Inputs'!$F$20*POWER(1+'Inputs'!$F$22,24)*'Inputs'!$F$21</f>
        <v>7826.257309872555</v>
      </c>
      <c r="AC8" s="21">
        <f>'Inputs'!$F$20*POWER(1+'Inputs'!$F$22,25)*'Inputs'!$F$21</f>
        <v>8061.045029168732</v>
      </c>
      <c r="AD8" s="21">
        <f>'Inputs'!$F$20*POWER(1+'Inputs'!$F$22,26)*'Inputs'!$F$21</f>
        <v>8302.876380043796</v>
      </c>
      <c r="AE8" s="21">
        <f>'Inputs'!$F$20*POWER(1+'Inputs'!$F$22,27)*'Inputs'!$F$21</f>
        <v>8551.962671445108</v>
      </c>
      <c r="AF8" s="21">
        <f>'Inputs'!$F$20*POWER(1+'Inputs'!$F$22,28)*'Inputs'!$F$21</f>
        <v>8808.521551588463</v>
      </c>
      <c r="AG8" s="21">
        <f>'Inputs'!$F$20*POWER(1+'Inputs'!$F$22,29)*'Inputs'!$F$21</f>
        <v>9072.777198136117</v>
      </c>
      <c r="AH8" s="21">
        <f>'Inputs'!$F$20*POWER(1+'Inputs'!$F$22,30)*'Inputs'!$F$21</f>
        <v>9344.9605140802</v>
      </c>
      <c r="AI8" s="21">
        <f>'Inputs'!$F$20*POWER(1+'Inputs'!$F$22,31)*'Inputs'!$F$21</f>
        <v>9625.309329502605</v>
      </c>
      <c r="AJ8" s="21">
        <f>'Inputs'!$F$20*POWER(1+'Inputs'!$F$22,32)*'Inputs'!$F$21</f>
        <v>9914.068609387685</v>
      </c>
      <c r="AK8" s="21">
        <f>'Inputs'!$F$20*POWER(1+'Inputs'!$F$22,33)*'Inputs'!$F$21</f>
        <v>10211.490667669315</v>
      </c>
      <c r="AL8" s="21">
        <f>'Inputs'!$F$20*POWER(1+'Inputs'!$F$22,34)*'Inputs'!$F$21</f>
        <v>10517.835387699395</v>
      </c>
      <c r="AM8" s="21">
        <f>'Inputs'!$F$20*POWER(1+'Inputs'!$F$22,35)*'Inputs'!$F$21</f>
        <v>10833.370449330376</v>
      </c>
      <c r="AN8" s="21">
        <f>'Inputs'!$F$20*POWER(1+'Inputs'!$F$22,36)*'Inputs'!$F$21</f>
        <v>11158.37156281029</v>
      </c>
      <c r="AO8" s="21">
        <f>'Inputs'!$F$20*POWER(1+'Inputs'!$F$22,37)*'Inputs'!$F$21</f>
        <v>11493.122709694599</v>
      </c>
      <c r="AP8" s="21">
        <f>'Inputs'!$F$20*POWER(1+'Inputs'!$F$22,38)*'Inputs'!$F$21</f>
        <v>11837.916390985436</v>
      </c>
      <c r="AQ8" s="21">
        <f>'Inputs'!$F$20*POWER(1+'Inputs'!$F$22,39)*'Inputs'!$F$21</f>
        <v>12193.053882714998</v>
      </c>
      <c r="AR8" s="21">
        <f>'Inputs'!$F$20*POWER(1+'Inputs'!$F$22,40)*'Inputs'!$F$21</f>
        <v>12558.84549919645</v>
      </c>
      <c r="AS8" s="21">
        <f>'Inputs'!$F$20*POWER(1+'Inputs'!$F$22,41)*'Inputs'!$F$21</f>
        <v>12935.610864172344</v>
      </c>
      <c r="AT8" s="21">
        <f>'Inputs'!$F$20*POWER(1+'Inputs'!$F$22,42)*'Inputs'!$F$21</f>
        <v>13323.679190097513</v>
      </c>
      <c r="AU8" s="21">
        <f>'Inputs'!$F$20*POWER(1+'Inputs'!$F$22,43)*'Inputs'!$F$21</f>
        <v>13723.38956580044</v>
      </c>
    </row>
    <row r="9" spans="1:48">
      <c r="A9" s="5" t="s">
        <v>202</v>
      </c>
      <c r="B9" s="12" t="s">
        <v>49</v>
      </c>
      <c r="C9" s="14" t="s">
        <v>203</v>
      </c>
      <c r="D9" s="21">
        <f>MAX(0,D36-D7-D8)*(IF(D$5&lt;'Inputs'!$F$23,0,CHOOSE(MIN(7,MAX(1,(YEAR(D$5)-YEAR('Inputs'!$F$23))*12+MONTH(D$5)-MONTH('Inputs'!$F$23)+1)),'Inputs'!$F$50,'Inputs'!$F$51,'Inputs'!$F$52,'Inputs'!$F$53,'Inputs'!$F$54,'Inputs'!$F$55,'Inputs'!$F$55)))</f>
        <v>0.0</v>
      </c>
      <c r="E9" s="21">
        <f>MAX(0,E36-E7-E8)*(IF(E$5&lt;'Inputs'!$F$23,0,CHOOSE(MIN(7,MAX(1,(YEAR(E$5)-YEAR('Inputs'!$F$23))*12+MONTH(E$5)-MONTH('Inputs'!$F$23)+1)),'Inputs'!$F$50,'Inputs'!$F$51,'Inputs'!$F$52,'Inputs'!$F$53,'Inputs'!$F$54,'Inputs'!$F$55,'Inputs'!$F$55)))</f>
        <v>0.0</v>
      </c>
      <c r="F9" s="21">
        <f>MAX(0,F36-F7-F8)*(IF(F$5&lt;'Inputs'!$F$23,0,CHOOSE(MIN(7,MAX(1,(YEAR(F$5)-YEAR('Inputs'!$F$23))*12+MONTH(F$5)-MONTH('Inputs'!$F$23)+1)),'Inputs'!$F$50,'Inputs'!$F$51,'Inputs'!$F$52,'Inputs'!$F$53,'Inputs'!$F$54,'Inputs'!$F$55,'Inputs'!$F$55)))</f>
        <v>0.0</v>
      </c>
      <c r="G9" s="21">
        <f>MAX(0,G36-G7-G8)*(IF(G$5&lt;'Inputs'!$F$23,0,CHOOSE(MIN(7,MAX(1,(YEAR(G$5)-YEAR('Inputs'!$F$23))*12+MONTH(G$5)-MONTH('Inputs'!$F$23)+1)),'Inputs'!$F$50,'Inputs'!$F$51,'Inputs'!$F$52,'Inputs'!$F$53,'Inputs'!$F$54,'Inputs'!$F$55,'Inputs'!$F$55)))</f>
        <v>0.0</v>
      </c>
      <c r="H9" s="21">
        <f>MAX(0,H36-H7-H8)*(IF(H$5&lt;'Inputs'!$F$23,0,CHOOSE(MIN(7,MAX(1,(YEAR(H$5)-YEAR('Inputs'!$F$23))*12+MONTH(H$5)-MONTH('Inputs'!$F$23)+1)),'Inputs'!$F$50,'Inputs'!$F$51,'Inputs'!$F$52,'Inputs'!$F$53,'Inputs'!$F$54,'Inputs'!$F$55,'Inputs'!$F$55)))</f>
        <v>0.0</v>
      </c>
      <c r="I9" s="21">
        <f>MAX(0,I36-I7-I8)*(IF(I$5&lt;'Inputs'!$F$23,0,CHOOSE(MIN(7,MAX(1,(YEAR(I$5)-YEAR('Inputs'!$F$23))*12+MONTH(I$5)-MONTH('Inputs'!$F$23)+1)),'Inputs'!$F$50,'Inputs'!$F$51,'Inputs'!$F$52,'Inputs'!$F$53,'Inputs'!$F$54,'Inputs'!$F$55,'Inputs'!$F$55)))</f>
        <v>9596.269047961934</v>
      </c>
      <c r="J9" s="21">
        <f>MAX(0,J36-J7-J8)*(IF(J$5&lt;'Inputs'!$F$23,0,CHOOSE(MIN(7,MAX(1,(YEAR(J$5)-YEAR('Inputs'!$F$23))*12+MONTH(J$5)-MONTH('Inputs'!$F$23)+1)),'Inputs'!$F$50,'Inputs'!$F$51,'Inputs'!$F$52,'Inputs'!$F$53,'Inputs'!$F$54,'Inputs'!$F$55,'Inputs'!$F$55)))</f>
        <v>13594.152205861878</v>
      </c>
      <c r="K9" s="21">
        <f>MAX(0,K36-K7-K8)*(IF(K$5&lt;'Inputs'!$F$23,0,CHOOSE(MIN(7,MAX(1,(YEAR(K$5)-YEAR('Inputs'!$F$23))*12+MONTH(K$5)-MONTH('Inputs'!$F$23)+1)),'Inputs'!$F$50,'Inputs'!$F$51,'Inputs'!$F$52,'Inputs'!$F$53,'Inputs'!$F$54,'Inputs'!$F$55,'Inputs'!$F$55)))</f>
        <v>17519.297999585546</v>
      </c>
      <c r="L9" s="21">
        <f>MAX(0,L36-L7-L8)*(IF(L$5&lt;'Inputs'!$F$23,0,CHOOSE(MIN(7,MAX(1,(YEAR(L$5)-YEAR('Inputs'!$F$23))*12+MONTH(L$5)-MONTH('Inputs'!$F$23)+1)),'Inputs'!$F$50,'Inputs'!$F$51,'Inputs'!$F$52,'Inputs'!$F$53,'Inputs'!$F$54,'Inputs'!$F$55,'Inputs'!$F$55)))</f>
        <v>28480.021510407518</v>
      </c>
      <c r="M9" s="21">
        <f>MAX(0,M36-M7-M8)*(IF(M$5&lt;'Inputs'!$F$23,0,CHOOSE(MIN(7,MAX(1,(YEAR(M$5)-YEAR('Inputs'!$F$23))*12+MONTH(M$5)-MONTH('Inputs'!$F$23)+1)),'Inputs'!$F$50,'Inputs'!$F$51,'Inputs'!$F$52,'Inputs'!$F$53,'Inputs'!$F$54,'Inputs'!$F$55,'Inputs'!$F$55)))</f>
        <v>31816.93109987254</v>
      </c>
      <c r="N9" s="21">
        <f>MAX(0,N36-N7-N8)*(IF(N$5&lt;'Inputs'!$F$23,0,CHOOSE(MIN(7,MAX(1,(YEAR(N$5)-YEAR('Inputs'!$F$23))*12+MONTH(N$5)-MONTH('Inputs'!$F$23)+1)),'Inputs'!$F$50,'Inputs'!$F$51,'Inputs'!$F$52,'Inputs'!$F$53,'Inputs'!$F$54,'Inputs'!$F$55,'Inputs'!$F$55)))</f>
        <v>35097.843701167</v>
      </c>
      <c r="O9" s="21">
        <f>MAX(0,O36-O7-O8)*(IF(O$5&lt;'Inputs'!$F$23,0,CHOOSE(MIN(7,MAX(1,(YEAR(O$5)-YEAR('Inputs'!$F$23))*12+MONTH(O$5)-MONTH('Inputs'!$F$23)+1)),'Inputs'!$F$50,'Inputs'!$F$51,'Inputs'!$F$52,'Inputs'!$F$53,'Inputs'!$F$54,'Inputs'!$F$55,'Inputs'!$F$55)))</f>
        <v>34836.94868347449</v>
      </c>
      <c r="P9" s="21">
        <f>MAX(0,P36-P7-P8)*(IF(P$5&lt;'Inputs'!$F$23,0,CHOOSE(MIN(7,MAX(1,(YEAR(P$5)-YEAR('Inputs'!$F$23))*12+MONTH(P$5)-MONTH('Inputs'!$F$23)+1)),'Inputs'!$F$50,'Inputs'!$F$51,'Inputs'!$F$52,'Inputs'!$F$53,'Inputs'!$F$54,'Inputs'!$F$55,'Inputs'!$F$55)))</f>
        <v>34569.28354200997</v>
      </c>
      <c r="Q9" s="21">
        <f>MAX(0,Q36-Q7-Q8)*(IF(Q$5&lt;'Inputs'!$F$23,0,CHOOSE(MIN(7,MAX(1,(YEAR(Q$5)-YEAR('Inputs'!$F$23))*12+MONTH(Q$5)-MONTH('Inputs'!$F$23)+1)),'Inputs'!$F$50,'Inputs'!$F$51,'Inputs'!$F$52,'Inputs'!$F$53,'Inputs'!$F$54,'Inputs'!$F$55,'Inputs'!$F$55)))</f>
        <v>34294.666307595486</v>
      </c>
      <c r="R9" s="21">
        <f>MAX(0,R36-R7-R8)*(IF(R$5&lt;'Inputs'!$F$23,0,CHOOSE(MIN(7,MAX(1,(YEAR(R$5)-YEAR('Inputs'!$F$23))*12+MONTH(R$5)-MONTH('Inputs'!$F$23)+1)),'Inputs'!$F$50,'Inputs'!$F$51,'Inputs'!$F$52,'Inputs'!$F$53,'Inputs'!$F$54,'Inputs'!$F$55,'Inputs'!$F$55)))</f>
        <v>34012.9099746684</v>
      </c>
      <c r="S9" s="21">
        <f>MAX(0,S36-S7-S8)*(IF(S$5&lt;'Inputs'!$F$23,0,CHOOSE(MIN(7,MAX(1,(YEAR(S$5)-YEAR('Inputs'!$F$23))*12+MONTH(S$5)-MONTH('Inputs'!$F$23)+1)),'Inputs'!$F$50,'Inputs'!$F$51,'Inputs'!$F$52,'Inputs'!$F$53,'Inputs'!$F$54,'Inputs'!$F$55,'Inputs'!$F$55)))</f>
        <v>39979.377914199285</v>
      </c>
      <c r="T9" s="21">
        <f>MAX(0,T36-T7-T8)*(IF(T$5&lt;'Inputs'!$F$23,0,CHOOSE(MIN(7,MAX(1,(YEAR(T$5)-YEAR('Inputs'!$F$23))*12+MONTH(T$5)-MONTH('Inputs'!$F$23)+1)),'Inputs'!$F$50,'Inputs'!$F$51,'Inputs'!$F$52,'Inputs'!$F$53,'Inputs'!$F$54,'Inputs'!$F$55,'Inputs'!$F$55)))</f>
        <v>39682.76150472192</v>
      </c>
      <c r="U9" s="21">
        <f>MAX(0,U36-U7-U8)*(IF(U$5&lt;'Inputs'!$F$23,0,CHOOSE(MIN(7,MAX(1,(YEAR(U$5)-YEAR('Inputs'!$F$23))*12+MONTH(U$5)-MONTH('Inputs'!$F$23)+1)),'Inputs'!$F$50,'Inputs'!$F$51,'Inputs'!$F$52,'Inputs'!$F$53,'Inputs'!$F$54,'Inputs'!$F$55,'Inputs'!$F$55)))</f>
        <v>39378.413314688834</v>
      </c>
      <c r="V9" s="21">
        <f>MAX(0,V36-V7-V8)*(IF(V$5&lt;'Inputs'!$F$23,0,CHOOSE(MIN(7,MAX(1,(YEAR(V$5)-YEAR('Inputs'!$F$23))*12+MONTH(V$5)-MONTH('Inputs'!$F$23)+1)),'Inputs'!$F$50,'Inputs'!$F$51,'Inputs'!$F$52,'Inputs'!$F$53,'Inputs'!$F$54,'Inputs'!$F$55,'Inputs'!$F$55)))</f>
        <v>39066.12472491793</v>
      </c>
      <c r="W9" s="21">
        <f>MAX(0,W36-W7-W8)*(IF(W$5&lt;'Inputs'!$F$23,0,CHOOSE(MIN(7,MAX(1,(YEAR(W$5)-YEAR('Inputs'!$F$23))*12+MONTH(W$5)-MONTH('Inputs'!$F$23)+1)),'Inputs'!$F$50,'Inputs'!$F$51,'Inputs'!$F$52,'Inputs'!$F$53,'Inputs'!$F$54,'Inputs'!$F$55,'Inputs'!$F$55)))</f>
        <v>38745.68132433633</v>
      </c>
      <c r="X9" s="21">
        <f>MAX(0,X36-X7-X8)*(IF(X$5&lt;'Inputs'!$F$23,0,CHOOSE(MIN(7,MAX(1,(YEAR(X$5)-YEAR('Inputs'!$F$23))*12+MONTH(X$5)-MONTH('Inputs'!$F$23)+1)),'Inputs'!$F$50,'Inputs'!$F$51,'Inputs'!$F$52,'Inputs'!$F$53,'Inputs'!$F$54,'Inputs'!$F$55,'Inputs'!$F$55)))</f>
        <v>38416.86274555736</v>
      </c>
      <c r="Y9" s="21">
        <f>MAX(0,Y36-Y7-Y8)*(IF(Y$5&lt;'Inputs'!$F$23,0,CHOOSE(MIN(7,MAX(1,(YEAR(Y$5)-YEAR('Inputs'!$F$23))*12+MONTH(Y$5)-MONTH('Inputs'!$F$23)+1)),'Inputs'!$F$50,'Inputs'!$F$51,'Inputs'!$F$52,'Inputs'!$F$53,'Inputs'!$F$54,'Inputs'!$F$55,'Inputs'!$F$55)))</f>
        <v>38079.44249571151</v>
      </c>
      <c r="Z9" s="21">
        <f>MAX(0,Z36-Z7-Z8)*(IF(Z$5&lt;'Inputs'!$F$23,0,CHOOSE(MIN(7,MAX(1,(YEAR(Z$5)-YEAR('Inputs'!$F$23))*12+MONTH(Z$5)-MONTH('Inputs'!$F$23)+1)),'Inputs'!$F$50,'Inputs'!$F$51,'Inputs'!$F$52,'Inputs'!$F$53,'Inputs'!$F$54,'Inputs'!$F$55,'Inputs'!$F$55)))</f>
        <v>37733.187782392706</v>
      </c>
      <c r="AA9" s="21">
        <f>MAX(0,AA36-AA7-AA8)*(IF(AA$5&lt;'Inputs'!$F$23,0,CHOOSE(MIN(7,MAX(1,(YEAR(AA$5)-YEAR('Inputs'!$F$23))*12+MONTH(AA$5)-MONTH('Inputs'!$F$23)+1)),'Inputs'!$F$50,'Inputs'!$F$51,'Inputs'!$F$52,'Inputs'!$F$53,'Inputs'!$F$54,'Inputs'!$F$55,'Inputs'!$F$55)))</f>
        <v>37377.859334577195</v>
      </c>
      <c r="AB9" s="21">
        <f>MAX(0,AB36-AB7-AB8)*(IF(AB$5&lt;'Inputs'!$F$23,0,CHOOSE(MIN(7,MAX(1,(YEAR(AB$5)-YEAR('Inputs'!$F$23))*12+MONTH(AB$5)-MONTH('Inputs'!$F$23)+1)),'Inputs'!$F$50,'Inputs'!$F$51,'Inputs'!$F$52,'Inputs'!$F$53,'Inputs'!$F$54,'Inputs'!$F$55,'Inputs'!$F$55)))</f>
        <v>37013.211218368146</v>
      </c>
      <c r="AC9" s="21">
        <f>MAX(0,AC36-AC7-AC8)*(IF(AC$5&lt;'Inputs'!$F$23,0,CHOOSE(MIN(7,MAX(1,(YEAR(AC$5)-YEAR('Inputs'!$F$23))*12+MONTH(AC$5)-MONTH('Inputs'!$F$23)+1)),'Inputs'!$F$50,'Inputs'!$F$51,'Inputs'!$F$52,'Inputs'!$F$53,'Inputs'!$F$54,'Inputs'!$F$55,'Inputs'!$F$55)))</f>
        <v>36638.99064741456</v>
      </c>
      <c r="AD9" s="21">
        <f>MAX(0,AD36-AD7-AD8)*(IF(AD$5&lt;'Inputs'!$F$23,0,CHOOSE(MIN(7,MAX(1,(YEAR(AD$5)-YEAR('Inputs'!$F$23))*12+MONTH(AD$5)-MONTH('Inputs'!$F$23)+1)),'Inputs'!$F$50,'Inputs'!$F$51,'Inputs'!$F$52,'Inputs'!$F$53,'Inputs'!$F$54,'Inputs'!$F$55,'Inputs'!$F$55)))</f>
        <v>36254.93778784894</v>
      </c>
      <c r="AE9" s="21">
        <f>MAX(0,AE36-AE7-AE8)*(IF(AE$5&lt;'Inputs'!$F$23,0,CHOOSE(MIN(7,MAX(1,(YEAR(AE$5)-YEAR('Inputs'!$F$23))*12+MONTH(AE$5)-MONTH('Inputs'!$F$23)+1)),'Inputs'!$F$50,'Inputs'!$F$51,'Inputs'!$F$52,'Inputs'!$F$53,'Inputs'!$F$54,'Inputs'!$F$55,'Inputs'!$F$55)))</f>
        <v>35860.78555758326</v>
      </c>
      <c r="AF9" s="21">
        <f>MAX(0,AF36-AF7-AF8)*(IF(AF$5&lt;'Inputs'!$F$23,0,CHOOSE(MIN(7,MAX(1,(YEAR(AF$5)-YEAR('Inputs'!$F$23))*12+MONTH(AF$5)-MONTH('Inputs'!$F$23)+1)),'Inputs'!$F$50,'Inputs'!$F$51,'Inputs'!$F$52,'Inputs'!$F$53,'Inputs'!$F$54,'Inputs'!$F$55,'Inputs'!$F$55)))</f>
        <v>35456.25941979825</v>
      </c>
      <c r="AG9" s="21">
        <f>MAX(0,AG36-AG7-AG8)*(IF(AG$5&lt;'Inputs'!$F$23,0,CHOOSE(MIN(7,MAX(1,(YEAR(AG$5)-YEAR('Inputs'!$F$23))*12+MONTH(AG$5)-MONTH('Inputs'!$F$23)+1)),'Inputs'!$F$50,'Inputs'!$F$51,'Inputs'!$F$52,'Inputs'!$F$53,'Inputs'!$F$54,'Inputs'!$F$55,'Inputs'!$F$55)))</f>
        <v>35041.07717045611</v>
      </c>
      <c r="AH9" s="21">
        <f>MAX(0,AH36-AH7-AH8)*(IF(AH$5&lt;'Inputs'!$F$23,0,CHOOSE(MIN(7,MAX(1,(YEAR(AH$5)-YEAR('Inputs'!$F$23))*12+MONTH(AH$5)-MONTH('Inputs'!$F$23)+1)),'Inputs'!$F$50,'Inputs'!$F$51,'Inputs'!$F$52,'Inputs'!$F$53,'Inputs'!$F$54,'Inputs'!$F$55,'Inputs'!$F$55)))</f>
        <v>34614.94871966165</v>
      </c>
      <c r="AI9" s="21">
        <f>MAX(0,AI36-AI7-AI8)*(IF(AI$5&lt;'Inputs'!$F$23,0,CHOOSE(MIN(7,MAX(1,(YEAR(AI$5)-YEAR('Inputs'!$F$23))*12+MONTH(AI$5)-MONTH('Inputs'!$F$23)+1)),'Inputs'!$F$50,'Inputs'!$F$51,'Inputs'!$F$52,'Inputs'!$F$53,'Inputs'!$F$54,'Inputs'!$F$55,'Inputs'!$F$55)))</f>
        <v>34177.575866691855</v>
      </c>
      <c r="AJ9" s="21">
        <f>MAX(0,AJ36-AJ7-AJ8)*(IF(AJ$5&lt;'Inputs'!$F$23,0,CHOOSE(MIN(7,MAX(1,(YEAR(AJ$5)-YEAR('Inputs'!$F$23))*12+MONTH(AJ$5)-MONTH('Inputs'!$F$23)+1)),'Inputs'!$F$50,'Inputs'!$F$51,'Inputs'!$F$52,'Inputs'!$F$53,'Inputs'!$F$54,'Inputs'!$F$55,'Inputs'!$F$55)))</f>
        <v>33728.65206850844</v>
      </c>
      <c r="AK9" s="21">
        <f>MAX(0,AK36-AK7-AK8)*(IF(AK$5&lt;'Inputs'!$F$23,0,CHOOSE(MIN(7,MAX(1,(YEAR(AK$5)-YEAR('Inputs'!$F$23))*12+MONTH(AK$5)-MONTH('Inputs'!$F$23)+1)),'Inputs'!$F$50,'Inputs'!$F$51,'Inputs'!$F$52,'Inputs'!$F$53,'Inputs'!$F$54,'Inputs'!$F$55,'Inputs'!$F$55)))</f>
        <v>33267.862201562515</v>
      </c>
      <c r="AL9" s="21">
        <f>MAX(0,AL36-AL7-AL8)*(IF(AL$5&lt;'Inputs'!$F$23,0,CHOOSE(MIN(7,MAX(1,(YEAR(AL$5)-YEAR('Inputs'!$F$23))*12+MONTH(AL$5)-MONTH('Inputs'!$F$23)+1)),'Inputs'!$F$50,'Inputs'!$F$51,'Inputs'!$F$52,'Inputs'!$F$53,'Inputs'!$F$54,'Inputs'!$F$55,'Inputs'!$F$55)))</f>
        <v>32794.88231669485</v>
      </c>
      <c r="AM9" s="21">
        <f>MAX(0,AM36-AM7-AM8)*(IF(AM$5&lt;'Inputs'!$F$23,0,CHOOSE(MIN(7,MAX(1,(YEAR(AM$5)-YEAR('Inputs'!$F$23))*12+MONTH(AM$5)-MONTH('Inputs'!$F$23)+1)),'Inputs'!$F$50,'Inputs'!$F$51,'Inputs'!$F$52,'Inputs'!$F$53,'Inputs'!$F$54,'Inputs'!$F$55,'Inputs'!$F$55)))</f>
        <v>32309.379386929533</v>
      </c>
      <c r="AN9" s="21">
        <f>MAX(0,AN36-AN7-AN8)*(IF(AN$5&lt;'Inputs'!$F$23,0,CHOOSE(MIN(7,MAX(1,(YEAR(AN$5)-YEAR('Inputs'!$F$23))*12+MONTH(AN$5)-MONTH('Inputs'!$F$23)+1)),'Inputs'!$F$50,'Inputs'!$F$51,'Inputs'!$F$52,'Inputs'!$F$53,'Inputs'!$F$54,'Inputs'!$F$55,'Inputs'!$F$55)))</f>
        <v>31811.011047952597</v>
      </c>
      <c r="AO9" s="21">
        <f>MAX(0,AO36-AO7-AO8)*(IF(AO$5&lt;'Inputs'!$F$23,0,CHOOSE(MIN(7,MAX(1,(YEAR(AO$5)-YEAR('Inputs'!$F$23))*12+MONTH(AO$5)-MONTH('Inputs'!$F$23)+1)),'Inputs'!$F$50,'Inputs'!$F$51,'Inputs'!$F$52,'Inputs'!$F$53,'Inputs'!$F$54,'Inputs'!$F$55,'Inputs'!$F$55)))</f>
        <v>31299.425331061317</v>
      </c>
      <c r="AP9" s="21">
        <f>MAX(0,AP36-AP7-AP8)*(IF(AP$5&lt;'Inputs'!$F$23,0,CHOOSE(MIN(7,MAX(1,(YEAR(AP$5)-YEAR('Inputs'!$F$23))*12+MONTH(AP$5)-MONTH('Inputs'!$F$23)+1)),'Inputs'!$F$50,'Inputs'!$F$51,'Inputs'!$F$52,'Inputs'!$F$53,'Inputs'!$F$54,'Inputs'!$F$55,'Inputs'!$F$55)))</f>
        <v>30774.260388363375</v>
      </c>
      <c r="AQ9" s="21">
        <f>MAX(0,AQ36-AQ7-AQ8)*(IF(AQ$5&lt;'Inputs'!$F$23,0,CHOOSE(MIN(7,MAX(1,(YEAR(AQ$5)-YEAR('Inputs'!$F$23))*12+MONTH(AQ$5)-MONTH('Inputs'!$F$23)+1)),'Inputs'!$F$50,'Inputs'!$F$51,'Inputs'!$F$52,'Inputs'!$F$53,'Inputs'!$F$54,'Inputs'!$F$55,'Inputs'!$F$55)))</f>
        <v>30235.14420999857</v>
      </c>
      <c r="AR9" s="21">
        <f>MAX(0,AR36-AR7-AR8)*(IF(AR$5&lt;'Inputs'!$F$23,0,CHOOSE(MIN(7,MAX(1,(YEAR(AR$5)-YEAR('Inputs'!$F$23))*12+MONTH(AR$5)-MONTH('Inputs'!$F$23)+1)),'Inputs'!$F$50,'Inputs'!$F$51,'Inputs'!$F$52,'Inputs'!$F$53,'Inputs'!$F$54,'Inputs'!$F$55,'Inputs'!$F$55)))</f>
        <v>29681.694333149168</v>
      </c>
      <c r="AS9" s="21">
        <f>MAX(0,AS36-AS7-AS8)*(IF(AS$5&lt;'Inputs'!$F$23,0,CHOOSE(MIN(7,MAX(1,(YEAR(AS$5)-YEAR('Inputs'!$F$23))*12+MONTH(AS$5)-MONTH('Inputs'!$F$23)+1)),'Inputs'!$F$50,'Inputs'!$F$51,'Inputs'!$F$52,'Inputs'!$F$53,'Inputs'!$F$54,'Inputs'!$F$55,'Inputs'!$F$55)))</f>
        <v>29113.517542597958</v>
      </c>
      <c r="AT9" s="21">
        <f>MAX(0,AT36-AT7-AT8)*(IF(AT$5&lt;'Inputs'!$F$23,0,CHOOSE(MIN(7,MAX(1,(YEAR(AT$5)-YEAR('Inputs'!$F$23))*12+MONTH(AT$5)-MONTH('Inputs'!$F$23)+1)),'Inputs'!$F$50,'Inputs'!$F$51,'Inputs'!$F$52,'Inputs'!$F$53,'Inputs'!$F$54,'Inputs'!$F$55,'Inputs'!$F$55)))</f>
        <v>28530.209562585973</v>
      </c>
      <c r="AU9" s="21">
        <f>MAX(0,AU36-AU7-AU8)*(IF(AU$5&lt;'Inputs'!$F$23,0,CHOOSE(MIN(7,MAX(1,(YEAR(AU$5)-YEAR('Inputs'!$F$23))*12+MONTH(AU$5)-MONTH('Inputs'!$F$23)+1)),'Inputs'!$F$50,'Inputs'!$F$51,'Inputs'!$F$52,'Inputs'!$F$53,'Inputs'!$F$54,'Inputs'!$F$55,'Inputs'!$F$55)))</f>
        <v>27931.354739714494</v>
      </c>
    </row>
    <row r="10" spans="1:48">
      <c r="A10" s="19" t="s">
        <v>204</v>
      </c>
      <c r="B10" s="12" t="s">
        <v>49</v>
      </c>
      <c r="C10" s="14" t="s">
        <v>205</v>
      </c>
      <c r="D10" s="20">
        <f>SUM(D7:D9)</f>
        <v>8184.42</v>
      </c>
      <c r="E10" s="20">
        <f>SUM(E7:E9)</f>
        <v>8386.608400000001</v>
      </c>
      <c r="F10" s="20">
        <f>SUM(F7:F9)</f>
        <v>8593.995568</v>
      </c>
      <c r="G10" s="20">
        <f>SUM(G7:G9)</f>
        <v>8806.720129360001</v>
      </c>
      <c r="H10" s="20">
        <f>SUM(H7:H9)</f>
        <v>9024.9245214472</v>
      </c>
      <c r="I10" s="20">
        <f>SUM(I7:I9)</f>
        <v>18845.024149023076</v>
      </c>
      <c r="J10" s="20">
        <f>SUM(J7:J9)</f>
        <v>23072.514460804792</v>
      </c>
      <c r="K10" s="20">
        <f>SUM(K7:K9)</f>
        <v>27233.198513043688</v>
      </c>
      <c r="L10" s="20">
        <f>SUM(L7:L9)</f>
        <v>38435.550177953686</v>
      </c>
      <c r="M10" s="20">
        <f>SUM(M7:M9)</f>
        <v>42020.34098890305</v>
      </c>
      <c r="N10" s="20">
        <f>SUM(N7:N9)</f>
        <v>45555.55555555555</v>
      </c>
      <c r="O10" s="20">
        <f>SUM(O7:O9)</f>
        <v>45555.555555555555</v>
      </c>
      <c r="P10" s="20">
        <f>SUM(P7:P9)</f>
        <v>45555.55555555555</v>
      </c>
      <c r="Q10" s="20">
        <f>SUM(Q7:Q9)</f>
        <v>45555.555555555555</v>
      </c>
      <c r="R10" s="20">
        <f>SUM(R7:R9)</f>
        <v>45555.555555555555</v>
      </c>
      <c r="S10" s="20">
        <f>SUM(S7:S9)</f>
        <v>51811.11111111111</v>
      </c>
      <c r="T10" s="20">
        <f>SUM(T7:T9)</f>
        <v>51811.11111111111</v>
      </c>
      <c r="U10" s="20">
        <f>SUM(U7:U9)</f>
        <v>51811.11111111111</v>
      </c>
      <c r="V10" s="20">
        <f>SUM(V7:V9)</f>
        <v>51811.11111111111</v>
      </c>
      <c r="W10" s="20">
        <f>SUM(W7:W9)</f>
        <v>51811.11111111111</v>
      </c>
      <c r="X10" s="20">
        <f>SUM(X7:X9)</f>
        <v>51811.11111111111</v>
      </c>
      <c r="Y10" s="20">
        <f>SUM(Y7:Y9)</f>
        <v>51811.11111111111</v>
      </c>
      <c r="Z10" s="20">
        <f>SUM(Z7:Z9)</f>
        <v>51811.11111111111</v>
      </c>
      <c r="AA10" s="20">
        <f>SUM(AA7:AA9)</f>
        <v>51811.11111111111</v>
      </c>
      <c r="AB10" s="20">
        <f>SUM(AB7:AB9)</f>
        <v>51811.11111111111</v>
      </c>
      <c r="AC10" s="20">
        <f>SUM(AC7:AC9)</f>
        <v>51811.11111111111</v>
      </c>
      <c r="AD10" s="20">
        <f>SUM(AD7:AD9)</f>
        <v>51811.11111111111</v>
      </c>
      <c r="AE10" s="20">
        <f>SUM(AE7:AE9)</f>
        <v>51811.11111111111</v>
      </c>
      <c r="AF10" s="20">
        <f>SUM(AF7:AF9)</f>
        <v>51811.11111111111</v>
      </c>
      <c r="AG10" s="20">
        <f>SUM(AG7:AG9)</f>
        <v>51811.11111111111</v>
      </c>
      <c r="AH10" s="20">
        <f>SUM(AH7:AH9)</f>
        <v>51811.11111111111</v>
      </c>
      <c r="AI10" s="20">
        <f>SUM(AI7:AI9)</f>
        <v>51811.11111111111</v>
      </c>
      <c r="AJ10" s="20">
        <f>SUM(AJ7:AJ9)</f>
        <v>51811.11111111111</v>
      </c>
      <c r="AK10" s="20">
        <f>SUM(AK7:AK9)</f>
        <v>51811.11111111111</v>
      </c>
      <c r="AL10" s="20">
        <f>SUM(AL7:AL9)</f>
        <v>51811.11111111111</v>
      </c>
      <c r="AM10" s="20">
        <f>SUM(AM7:AM9)</f>
        <v>51811.11111111111</v>
      </c>
      <c r="AN10" s="20">
        <f>SUM(AN7:AN9)</f>
        <v>51811.11111111112</v>
      </c>
      <c r="AO10" s="20">
        <f>SUM(AO7:AO9)</f>
        <v>51811.11111111111</v>
      </c>
      <c r="AP10" s="20">
        <f>SUM(AP7:AP9)</f>
        <v>51811.11111111111</v>
      </c>
      <c r="AQ10" s="20">
        <f>SUM(AQ7:AQ9)</f>
        <v>51811.11111111111</v>
      </c>
      <c r="AR10" s="20">
        <f>SUM(AR7:AR9)</f>
        <v>51811.11111111111</v>
      </c>
      <c r="AS10" s="20">
        <f>SUM(AS7:AS9)</f>
        <v>51811.11111111111</v>
      </c>
      <c r="AT10" s="20">
        <f>SUM(AT7:AT9)</f>
        <v>51811.11111111111</v>
      </c>
      <c r="AU10" s="20">
        <f>SUM(AU7:AU9)</f>
        <v>51811.11111111111</v>
      </c>
    </row>
    <row r="11" spans="1:48">
      <c r="A11" s="5" t="s">
        <v>206</v>
      </c>
      <c r="B11" s="12" t="s">
        <v>49</v>
      </c>
      <c r="C11" s="14" t="s">
        <v>207</v>
      </c>
      <c r="D11" s="21">
        <f>'Inputs'!$F$11*'Inputs'!$F$48*(IF(D$5&lt;'Inputs'!$F$57,0,IF(D$5&lt;='Inputs'!$F$58,'Inputs'!$F$10,IF(D$5&gt;='Inputs'!$F$59,'Inputs'!$F$9,0))))</f>
        <v>9600.0</v>
      </c>
      <c r="E11" s="21">
        <f>'Inputs'!$F$11*'Inputs'!$F$48*(IF(E$5&lt;'Inputs'!$F$57,0,IF(E$5&lt;='Inputs'!$F$58,'Inputs'!$F$10,IF(E$5&gt;='Inputs'!$F$59,'Inputs'!$F$9,0))))</f>
        <v>9600.0</v>
      </c>
      <c r="F11" s="21">
        <f>'Inputs'!$F$11*'Inputs'!$F$48*(IF(F$5&lt;'Inputs'!$F$57,0,IF(F$5&lt;='Inputs'!$F$58,'Inputs'!$F$10,IF(F$5&gt;='Inputs'!$F$59,'Inputs'!$F$9,0))))</f>
        <v>9600.0</v>
      </c>
      <c r="G11" s="21">
        <f>'Inputs'!$F$11*'Inputs'!$F$48*(IF(G$5&lt;'Inputs'!$F$57,0,IF(G$5&lt;='Inputs'!$F$58,'Inputs'!$F$10,IF(G$5&gt;='Inputs'!$F$59,'Inputs'!$F$9,0))))</f>
        <v>9600.0</v>
      </c>
      <c r="H11" s="21">
        <f>'Inputs'!$F$11*'Inputs'!$F$48*(IF(H$5&lt;'Inputs'!$F$57,0,IF(H$5&lt;='Inputs'!$F$58,'Inputs'!$F$10,IF(H$5&gt;='Inputs'!$F$59,'Inputs'!$F$9,0))))</f>
        <v>9600.0</v>
      </c>
      <c r="I11" s="21">
        <f>'Inputs'!$F$11*'Inputs'!$F$48*(IF(I$5&lt;'Inputs'!$F$57,0,IF(I$5&lt;='Inputs'!$F$58,'Inputs'!$F$10,IF(I$5&gt;='Inputs'!$F$59,'Inputs'!$F$9,0))))</f>
        <v>9600.0</v>
      </c>
      <c r="J11" s="21">
        <f>'Inputs'!$F$11*'Inputs'!$F$48*(IF(J$5&lt;'Inputs'!$F$57,0,IF(J$5&lt;='Inputs'!$F$58,'Inputs'!$F$10,IF(J$5&gt;='Inputs'!$F$59,'Inputs'!$F$9,0))))</f>
        <v>9600.0</v>
      </c>
      <c r="K11" s="21">
        <f>'Inputs'!$F$11*'Inputs'!$F$48*(IF(K$5&lt;'Inputs'!$F$57,0,IF(K$5&lt;='Inputs'!$F$58,'Inputs'!$F$10,IF(K$5&gt;='Inputs'!$F$59,'Inputs'!$F$9,0))))</f>
        <v>9600.0</v>
      </c>
      <c r="L11" s="21">
        <f>'Inputs'!$F$11*'Inputs'!$F$48*(IF(L$5&lt;'Inputs'!$F$57,0,IF(L$5&lt;='Inputs'!$F$58,'Inputs'!$F$10,IF(L$5&gt;='Inputs'!$F$59,'Inputs'!$F$9,0))))</f>
        <v>9600.0</v>
      </c>
      <c r="M11" s="21">
        <f>'Inputs'!$F$11*'Inputs'!$F$48*(IF(M$5&lt;'Inputs'!$F$57,0,IF(M$5&lt;='Inputs'!$F$58,'Inputs'!$F$10,IF(M$5&gt;='Inputs'!$F$59,'Inputs'!$F$9,0))))</f>
        <v>9600.0</v>
      </c>
      <c r="N11" s="21">
        <f>'Inputs'!$F$11*'Inputs'!$F$48*(IF(N$5&lt;'Inputs'!$F$57,0,IF(N$5&lt;='Inputs'!$F$58,'Inputs'!$F$10,IF(N$5&gt;='Inputs'!$F$59,'Inputs'!$F$9,0))))</f>
        <v>9600.0</v>
      </c>
      <c r="O11" s="21">
        <f>'Inputs'!$F$11*'Inputs'!$F$48*(IF(O$5&lt;'Inputs'!$F$57,0,IF(O$5&lt;='Inputs'!$F$58,'Inputs'!$F$10,IF(O$5&gt;='Inputs'!$F$59,'Inputs'!$F$9,0))))</f>
        <v>9600.0</v>
      </c>
      <c r="P11" s="21">
        <f>'Inputs'!$F$11*'Inputs'!$F$48*(IF(P$5&lt;'Inputs'!$F$57,0,IF(P$5&lt;='Inputs'!$F$58,'Inputs'!$F$10,IF(P$5&gt;='Inputs'!$F$59,'Inputs'!$F$9,0))))</f>
        <v>9600.0</v>
      </c>
      <c r="Q11" s="21">
        <f>'Inputs'!$F$11*'Inputs'!$F$48*(IF(Q$5&lt;'Inputs'!$F$57,0,IF(Q$5&lt;='Inputs'!$F$58,'Inputs'!$F$10,IF(Q$5&gt;='Inputs'!$F$59,'Inputs'!$F$9,0))))</f>
        <v>9600.0</v>
      </c>
      <c r="R11" s="21">
        <f>'Inputs'!$F$11*'Inputs'!$F$48*(IF(R$5&lt;'Inputs'!$F$57,0,IF(R$5&lt;='Inputs'!$F$58,'Inputs'!$F$10,IF(R$5&gt;='Inputs'!$F$59,'Inputs'!$F$9,0))))</f>
        <v>9600.0</v>
      </c>
      <c r="S11" s="21">
        <f>'Inputs'!$F$11*'Inputs'!$F$48*(IF(S$5&lt;'Inputs'!$F$57,0,IF(S$5&lt;='Inputs'!$F$58,'Inputs'!$F$10,IF(S$5&gt;='Inputs'!$F$59,'Inputs'!$F$9,0))))</f>
        <v>9600.0</v>
      </c>
      <c r="T11" s="21">
        <f>'Inputs'!$F$11*'Inputs'!$F$48*(IF(T$5&lt;'Inputs'!$F$57,0,IF(T$5&lt;='Inputs'!$F$58,'Inputs'!$F$10,IF(T$5&gt;='Inputs'!$F$59,'Inputs'!$F$9,0))))</f>
        <v>9600.0</v>
      </c>
      <c r="U11" s="21">
        <f>'Inputs'!$F$11*'Inputs'!$F$48*(IF(U$5&lt;'Inputs'!$F$57,0,IF(U$5&lt;='Inputs'!$F$58,'Inputs'!$F$10,IF(U$5&gt;='Inputs'!$F$59,'Inputs'!$F$9,0))))</f>
        <v>9600.0</v>
      </c>
      <c r="V11" s="21">
        <f>'Inputs'!$F$11*'Inputs'!$F$48*(IF(V$5&lt;'Inputs'!$F$57,0,IF(V$5&lt;='Inputs'!$F$58,'Inputs'!$F$10,IF(V$5&gt;='Inputs'!$F$59,'Inputs'!$F$9,0))))</f>
        <v>9600.0</v>
      </c>
      <c r="W11" s="21">
        <f>'Inputs'!$F$11*'Inputs'!$F$48*(IF(W$5&lt;'Inputs'!$F$57,0,IF(W$5&lt;='Inputs'!$F$58,'Inputs'!$F$10,IF(W$5&gt;='Inputs'!$F$59,'Inputs'!$F$9,0))))</f>
        <v>9600.0</v>
      </c>
      <c r="X11" s="21">
        <f>'Inputs'!$F$11*'Inputs'!$F$48*(IF(X$5&lt;'Inputs'!$F$57,0,IF(X$5&lt;='Inputs'!$F$58,'Inputs'!$F$10,IF(X$5&gt;='Inputs'!$F$59,'Inputs'!$F$9,0))))</f>
        <v>9600.0</v>
      </c>
      <c r="Y11" s="21">
        <f>'Inputs'!$F$11*'Inputs'!$F$48*(IF(Y$5&lt;'Inputs'!$F$57,0,IF(Y$5&lt;='Inputs'!$F$58,'Inputs'!$F$10,IF(Y$5&gt;='Inputs'!$F$59,'Inputs'!$F$9,0))))</f>
        <v>9600.0</v>
      </c>
      <c r="Z11" s="21">
        <f>'Inputs'!$F$11*'Inputs'!$F$48*(IF(Z$5&lt;'Inputs'!$F$57,0,IF(Z$5&lt;='Inputs'!$F$58,'Inputs'!$F$10,IF(Z$5&gt;='Inputs'!$F$59,'Inputs'!$F$9,0))))</f>
        <v>9600.0</v>
      </c>
      <c r="AA11" s="21">
        <f>'Inputs'!$F$11*'Inputs'!$F$48*(IF(AA$5&lt;'Inputs'!$F$57,0,IF(AA$5&lt;='Inputs'!$F$58,'Inputs'!$F$10,IF(AA$5&gt;='Inputs'!$F$59,'Inputs'!$F$9,0))))</f>
        <v>9600.0</v>
      </c>
      <c r="AB11" s="21">
        <f>'Inputs'!$F$11*'Inputs'!$F$48*(IF(AB$5&lt;'Inputs'!$F$57,0,IF(AB$5&lt;='Inputs'!$F$58,'Inputs'!$F$10,IF(AB$5&gt;='Inputs'!$F$59,'Inputs'!$F$9,0))))</f>
        <v>9600.0</v>
      </c>
      <c r="AC11" s="21">
        <f>'Inputs'!$F$11*'Inputs'!$F$48*(IF(AC$5&lt;'Inputs'!$F$57,0,IF(AC$5&lt;='Inputs'!$F$58,'Inputs'!$F$10,IF(AC$5&gt;='Inputs'!$F$59,'Inputs'!$F$9,0))))</f>
        <v>9600.0</v>
      </c>
      <c r="AD11" s="21">
        <f>'Inputs'!$F$11*'Inputs'!$F$48*(IF(AD$5&lt;'Inputs'!$F$57,0,IF(AD$5&lt;='Inputs'!$F$58,'Inputs'!$F$10,IF(AD$5&gt;='Inputs'!$F$59,'Inputs'!$F$9,0))))</f>
        <v>9600.0</v>
      </c>
      <c r="AE11" s="21">
        <f>'Inputs'!$F$11*'Inputs'!$F$48*(IF(AE$5&lt;'Inputs'!$F$57,0,IF(AE$5&lt;='Inputs'!$F$58,'Inputs'!$F$10,IF(AE$5&gt;='Inputs'!$F$59,'Inputs'!$F$9,0))))</f>
        <v>9600.0</v>
      </c>
      <c r="AF11" s="21">
        <f>'Inputs'!$F$11*'Inputs'!$F$48*(IF(AF$5&lt;'Inputs'!$F$57,0,IF(AF$5&lt;='Inputs'!$F$58,'Inputs'!$F$10,IF(AF$5&gt;='Inputs'!$F$59,'Inputs'!$F$9,0))))</f>
        <v>9600.0</v>
      </c>
      <c r="AG11" s="21">
        <f>'Inputs'!$F$11*'Inputs'!$F$48*(IF(AG$5&lt;'Inputs'!$F$57,0,IF(AG$5&lt;='Inputs'!$F$58,'Inputs'!$F$10,IF(AG$5&gt;='Inputs'!$F$59,'Inputs'!$F$9,0))))</f>
        <v>9600.0</v>
      </c>
      <c r="AH11" s="21">
        <f>'Inputs'!$F$11*'Inputs'!$F$48*(IF(AH$5&lt;'Inputs'!$F$57,0,IF(AH$5&lt;='Inputs'!$F$58,'Inputs'!$F$10,IF(AH$5&gt;='Inputs'!$F$59,'Inputs'!$F$9,0))))</f>
        <v>9600.0</v>
      </c>
      <c r="AI11" s="21">
        <f>'Inputs'!$F$11*'Inputs'!$F$48*(IF(AI$5&lt;'Inputs'!$F$57,0,IF(AI$5&lt;='Inputs'!$F$58,'Inputs'!$F$10,IF(AI$5&gt;='Inputs'!$F$59,'Inputs'!$F$9,0))))</f>
        <v>9600.0</v>
      </c>
      <c r="AJ11" s="21">
        <f>'Inputs'!$F$11*'Inputs'!$F$48*(IF(AJ$5&lt;'Inputs'!$F$57,0,IF(AJ$5&lt;='Inputs'!$F$58,'Inputs'!$F$10,IF(AJ$5&gt;='Inputs'!$F$59,'Inputs'!$F$9,0))))</f>
        <v>9600.0</v>
      </c>
      <c r="AK11" s="21">
        <f>'Inputs'!$F$11*'Inputs'!$F$48*(IF(AK$5&lt;'Inputs'!$F$57,0,IF(AK$5&lt;='Inputs'!$F$58,'Inputs'!$F$10,IF(AK$5&gt;='Inputs'!$F$59,'Inputs'!$F$9,0))))</f>
        <v>9600.0</v>
      </c>
      <c r="AL11" s="21">
        <f>'Inputs'!$F$11*'Inputs'!$F$48*(IF(AL$5&lt;'Inputs'!$F$57,0,IF(AL$5&lt;='Inputs'!$F$58,'Inputs'!$F$10,IF(AL$5&gt;='Inputs'!$F$59,'Inputs'!$F$9,0))))</f>
        <v>9600.0</v>
      </c>
      <c r="AM11" s="21">
        <f>'Inputs'!$F$11*'Inputs'!$F$48*(IF(AM$5&lt;'Inputs'!$F$57,0,IF(AM$5&lt;='Inputs'!$F$58,'Inputs'!$F$10,IF(AM$5&gt;='Inputs'!$F$59,'Inputs'!$F$9,0))))</f>
        <v>9600.0</v>
      </c>
      <c r="AN11" s="21">
        <f>'Inputs'!$F$11*'Inputs'!$F$48*(IF(AN$5&lt;'Inputs'!$F$57,0,IF(AN$5&lt;='Inputs'!$F$58,'Inputs'!$F$10,IF(AN$5&gt;='Inputs'!$F$59,'Inputs'!$F$9,0))))</f>
        <v>9600.0</v>
      </c>
      <c r="AO11" s="21">
        <f>'Inputs'!$F$11*'Inputs'!$F$48*(IF(AO$5&lt;'Inputs'!$F$57,0,IF(AO$5&lt;='Inputs'!$F$58,'Inputs'!$F$10,IF(AO$5&gt;='Inputs'!$F$59,'Inputs'!$F$9,0))))</f>
        <v>9600.0</v>
      </c>
      <c r="AP11" s="21">
        <f>'Inputs'!$F$11*'Inputs'!$F$48*(IF(AP$5&lt;'Inputs'!$F$57,0,IF(AP$5&lt;='Inputs'!$F$58,'Inputs'!$F$10,IF(AP$5&gt;='Inputs'!$F$59,'Inputs'!$F$9,0))))</f>
        <v>9600.0</v>
      </c>
      <c r="AQ11" s="21">
        <f>'Inputs'!$F$11*'Inputs'!$F$48*(IF(AQ$5&lt;'Inputs'!$F$57,0,IF(AQ$5&lt;='Inputs'!$F$58,'Inputs'!$F$10,IF(AQ$5&gt;='Inputs'!$F$59,'Inputs'!$F$9,0))))</f>
        <v>9600.0</v>
      </c>
      <c r="AR11" s="21">
        <f>'Inputs'!$F$11*'Inputs'!$F$48*(IF(AR$5&lt;'Inputs'!$F$57,0,IF(AR$5&lt;='Inputs'!$F$58,'Inputs'!$F$10,IF(AR$5&gt;='Inputs'!$F$59,'Inputs'!$F$9,0))))</f>
        <v>9600.0</v>
      </c>
      <c r="AS11" s="21">
        <f>'Inputs'!$F$11*'Inputs'!$F$48*(IF(AS$5&lt;'Inputs'!$F$57,0,IF(AS$5&lt;='Inputs'!$F$58,'Inputs'!$F$10,IF(AS$5&gt;='Inputs'!$F$59,'Inputs'!$F$9,0))))</f>
        <v>9600.0</v>
      </c>
      <c r="AT11" s="21">
        <f>'Inputs'!$F$11*'Inputs'!$F$48*(IF(AT$5&lt;'Inputs'!$F$57,0,IF(AT$5&lt;='Inputs'!$F$58,'Inputs'!$F$10,IF(AT$5&gt;='Inputs'!$F$59,'Inputs'!$F$9,0))))</f>
        <v>9600.0</v>
      </c>
      <c r="AU11" s="21">
        <f>'Inputs'!$F$11*'Inputs'!$F$48*(IF(AU$5&lt;'Inputs'!$F$57,0,IF(AU$5&lt;='Inputs'!$F$58,'Inputs'!$F$10,IF(AU$5&gt;='Inputs'!$F$59,'Inputs'!$F$9,0))))</f>
        <v>9600.0</v>
      </c>
    </row>
    <row r="12" spans="1:48">
      <c r="A12" s="5" t="s">
        <v>208</v>
      </c>
      <c r="B12" s="12" t="s">
        <v>49</v>
      </c>
      <c r="C12" s="14" t="s">
        <v>209</v>
      </c>
      <c r="D12" s="21">
        <f>'Inputs'!$F$13*'Inputs'!$F$14*(IF(D$5&lt;'Inputs'!$F$57,0,IF(D$5&lt;='Inputs'!$F$58,'Inputs'!$F$10,IF(D$5&gt;='Inputs'!$F$59,'Inputs'!$F$9,0))))</f>
        <v>6300.0</v>
      </c>
      <c r="E12" s="21">
        <f>'Inputs'!$F$13*'Inputs'!$F$14*(IF(E$5&lt;'Inputs'!$F$57,0,IF(E$5&lt;='Inputs'!$F$58,'Inputs'!$F$10,IF(E$5&gt;='Inputs'!$F$59,'Inputs'!$F$9,0))))</f>
        <v>6300.0</v>
      </c>
      <c r="F12" s="21">
        <f>'Inputs'!$F$13*'Inputs'!$F$14*(IF(F$5&lt;'Inputs'!$F$57,0,IF(F$5&lt;='Inputs'!$F$58,'Inputs'!$F$10,IF(F$5&gt;='Inputs'!$F$59,'Inputs'!$F$9,0))))</f>
        <v>6300.0</v>
      </c>
      <c r="G12" s="21">
        <f>'Inputs'!$F$13*'Inputs'!$F$14*(IF(G$5&lt;'Inputs'!$F$57,0,IF(G$5&lt;='Inputs'!$F$58,'Inputs'!$F$10,IF(G$5&gt;='Inputs'!$F$59,'Inputs'!$F$9,0))))</f>
        <v>6300.0</v>
      </c>
      <c r="H12" s="21">
        <f>'Inputs'!$F$13*'Inputs'!$F$14*(IF(H$5&lt;'Inputs'!$F$57,0,IF(H$5&lt;='Inputs'!$F$58,'Inputs'!$F$10,IF(H$5&gt;='Inputs'!$F$59,'Inputs'!$F$9,0))))</f>
        <v>6300.0</v>
      </c>
      <c r="I12" s="21">
        <f>'Inputs'!$F$13*'Inputs'!$F$14*(IF(I$5&lt;'Inputs'!$F$57,0,IF(I$5&lt;='Inputs'!$F$58,'Inputs'!$F$10,IF(I$5&gt;='Inputs'!$F$59,'Inputs'!$F$9,0))))</f>
        <v>6300.0</v>
      </c>
      <c r="J12" s="21">
        <f>'Inputs'!$F$13*'Inputs'!$F$14*(IF(J$5&lt;'Inputs'!$F$57,0,IF(J$5&lt;='Inputs'!$F$58,'Inputs'!$F$10,IF(J$5&gt;='Inputs'!$F$59,'Inputs'!$F$9,0))))</f>
        <v>6300.0</v>
      </c>
      <c r="K12" s="21">
        <f>'Inputs'!$F$13*'Inputs'!$F$14*(IF(K$5&lt;'Inputs'!$F$57,0,IF(K$5&lt;='Inputs'!$F$58,'Inputs'!$F$10,IF(K$5&gt;='Inputs'!$F$59,'Inputs'!$F$9,0))))</f>
        <v>6300.0</v>
      </c>
      <c r="L12" s="21">
        <f>'Inputs'!$F$13*'Inputs'!$F$14*(IF(L$5&lt;'Inputs'!$F$57,0,IF(L$5&lt;='Inputs'!$F$58,'Inputs'!$F$10,IF(L$5&gt;='Inputs'!$F$59,'Inputs'!$F$9,0))))</f>
        <v>6300.0</v>
      </c>
      <c r="M12" s="21">
        <f>'Inputs'!$F$13*'Inputs'!$F$14*(IF(M$5&lt;'Inputs'!$F$57,0,IF(M$5&lt;='Inputs'!$F$58,'Inputs'!$F$10,IF(M$5&gt;='Inputs'!$F$59,'Inputs'!$F$9,0))))</f>
        <v>6300.0</v>
      </c>
      <c r="N12" s="21">
        <f>'Inputs'!$F$13*'Inputs'!$F$14*(IF(N$5&lt;'Inputs'!$F$57,0,IF(N$5&lt;='Inputs'!$F$58,'Inputs'!$F$10,IF(N$5&gt;='Inputs'!$F$59,'Inputs'!$F$9,0))))</f>
        <v>6300.0</v>
      </c>
      <c r="O12" s="21">
        <f>'Inputs'!$F$13*'Inputs'!$F$14*(IF(O$5&lt;'Inputs'!$F$57,0,IF(O$5&lt;='Inputs'!$F$58,'Inputs'!$F$10,IF(O$5&gt;='Inputs'!$F$59,'Inputs'!$F$9,0))))</f>
        <v>6300.0</v>
      </c>
      <c r="P12" s="21">
        <f>'Inputs'!$F$13*'Inputs'!$F$14*(IF(P$5&lt;'Inputs'!$F$57,0,IF(P$5&lt;='Inputs'!$F$58,'Inputs'!$F$10,IF(P$5&gt;='Inputs'!$F$59,'Inputs'!$F$9,0))))</f>
        <v>6300.0</v>
      </c>
      <c r="Q12" s="21">
        <f>'Inputs'!$F$13*'Inputs'!$F$14*(IF(Q$5&lt;'Inputs'!$F$57,0,IF(Q$5&lt;='Inputs'!$F$58,'Inputs'!$F$10,IF(Q$5&gt;='Inputs'!$F$59,'Inputs'!$F$9,0))))</f>
        <v>6300.0</v>
      </c>
      <c r="R12" s="21">
        <f>'Inputs'!$F$13*'Inputs'!$F$14*(IF(R$5&lt;'Inputs'!$F$57,0,IF(R$5&lt;='Inputs'!$F$58,'Inputs'!$F$10,IF(R$5&gt;='Inputs'!$F$59,'Inputs'!$F$9,0))))</f>
        <v>6300.0</v>
      </c>
      <c r="S12" s="21">
        <f>'Inputs'!$F$13*'Inputs'!$F$14*(IF(S$5&lt;'Inputs'!$F$57,0,IF(S$5&lt;='Inputs'!$F$58,'Inputs'!$F$10,IF(S$5&gt;='Inputs'!$F$59,'Inputs'!$F$9,0))))</f>
        <v>6300.0</v>
      </c>
      <c r="T12" s="21">
        <f>'Inputs'!$F$13*'Inputs'!$F$14*(IF(T$5&lt;'Inputs'!$F$57,0,IF(T$5&lt;='Inputs'!$F$58,'Inputs'!$F$10,IF(T$5&gt;='Inputs'!$F$59,'Inputs'!$F$9,0))))</f>
        <v>6300.0</v>
      </c>
      <c r="U12" s="21">
        <f>'Inputs'!$F$13*'Inputs'!$F$14*(IF(U$5&lt;'Inputs'!$F$57,0,IF(U$5&lt;='Inputs'!$F$58,'Inputs'!$F$10,IF(U$5&gt;='Inputs'!$F$59,'Inputs'!$F$9,0))))</f>
        <v>6300.0</v>
      </c>
      <c r="V12" s="21">
        <f>'Inputs'!$F$13*'Inputs'!$F$14*(IF(V$5&lt;'Inputs'!$F$57,0,IF(V$5&lt;='Inputs'!$F$58,'Inputs'!$F$10,IF(V$5&gt;='Inputs'!$F$59,'Inputs'!$F$9,0))))</f>
        <v>6300.0</v>
      </c>
      <c r="W12" s="21">
        <f>'Inputs'!$F$13*'Inputs'!$F$14*(IF(W$5&lt;'Inputs'!$F$57,0,IF(W$5&lt;='Inputs'!$F$58,'Inputs'!$F$10,IF(W$5&gt;='Inputs'!$F$59,'Inputs'!$F$9,0))))</f>
        <v>6300.0</v>
      </c>
      <c r="X12" s="21">
        <f>'Inputs'!$F$13*'Inputs'!$F$14*(IF(X$5&lt;'Inputs'!$F$57,0,IF(X$5&lt;='Inputs'!$F$58,'Inputs'!$F$10,IF(X$5&gt;='Inputs'!$F$59,'Inputs'!$F$9,0))))</f>
        <v>6300.0</v>
      </c>
      <c r="Y12" s="21">
        <f>'Inputs'!$F$13*'Inputs'!$F$14*(IF(Y$5&lt;'Inputs'!$F$57,0,IF(Y$5&lt;='Inputs'!$F$58,'Inputs'!$F$10,IF(Y$5&gt;='Inputs'!$F$59,'Inputs'!$F$9,0))))</f>
        <v>6300.0</v>
      </c>
      <c r="Z12" s="21">
        <f>'Inputs'!$F$13*'Inputs'!$F$14*(IF(Z$5&lt;'Inputs'!$F$57,0,IF(Z$5&lt;='Inputs'!$F$58,'Inputs'!$F$10,IF(Z$5&gt;='Inputs'!$F$59,'Inputs'!$F$9,0))))</f>
        <v>6300.0</v>
      </c>
      <c r="AA12" s="21">
        <f>'Inputs'!$F$13*'Inputs'!$F$14*(IF(AA$5&lt;'Inputs'!$F$57,0,IF(AA$5&lt;='Inputs'!$F$58,'Inputs'!$F$10,IF(AA$5&gt;='Inputs'!$F$59,'Inputs'!$F$9,0))))</f>
        <v>6300.0</v>
      </c>
      <c r="AB12" s="21">
        <f>'Inputs'!$F$13*'Inputs'!$F$14*(IF(AB$5&lt;'Inputs'!$F$57,0,IF(AB$5&lt;='Inputs'!$F$58,'Inputs'!$F$10,IF(AB$5&gt;='Inputs'!$F$59,'Inputs'!$F$9,0))))</f>
        <v>6300.0</v>
      </c>
      <c r="AC12" s="21">
        <f>'Inputs'!$F$13*'Inputs'!$F$14*(IF(AC$5&lt;'Inputs'!$F$57,0,IF(AC$5&lt;='Inputs'!$F$58,'Inputs'!$F$10,IF(AC$5&gt;='Inputs'!$F$59,'Inputs'!$F$9,0))))</f>
        <v>6300.0</v>
      </c>
      <c r="AD12" s="21">
        <f>'Inputs'!$F$13*'Inputs'!$F$14*(IF(AD$5&lt;'Inputs'!$F$57,0,IF(AD$5&lt;='Inputs'!$F$58,'Inputs'!$F$10,IF(AD$5&gt;='Inputs'!$F$59,'Inputs'!$F$9,0))))</f>
        <v>6300.0</v>
      </c>
      <c r="AE12" s="21">
        <f>'Inputs'!$F$13*'Inputs'!$F$14*(IF(AE$5&lt;'Inputs'!$F$57,0,IF(AE$5&lt;='Inputs'!$F$58,'Inputs'!$F$10,IF(AE$5&gt;='Inputs'!$F$59,'Inputs'!$F$9,0))))</f>
        <v>6300.0</v>
      </c>
      <c r="AF12" s="21">
        <f>'Inputs'!$F$13*'Inputs'!$F$14*(IF(AF$5&lt;'Inputs'!$F$57,0,IF(AF$5&lt;='Inputs'!$F$58,'Inputs'!$F$10,IF(AF$5&gt;='Inputs'!$F$59,'Inputs'!$F$9,0))))</f>
        <v>6300.0</v>
      </c>
      <c r="AG12" s="21">
        <f>'Inputs'!$F$13*'Inputs'!$F$14*(IF(AG$5&lt;'Inputs'!$F$57,0,IF(AG$5&lt;='Inputs'!$F$58,'Inputs'!$F$10,IF(AG$5&gt;='Inputs'!$F$59,'Inputs'!$F$9,0))))</f>
        <v>6300.0</v>
      </c>
      <c r="AH12" s="21">
        <f>'Inputs'!$F$13*'Inputs'!$F$14*(IF(AH$5&lt;'Inputs'!$F$57,0,IF(AH$5&lt;='Inputs'!$F$58,'Inputs'!$F$10,IF(AH$5&gt;='Inputs'!$F$59,'Inputs'!$F$9,0))))</f>
        <v>6300.0</v>
      </c>
      <c r="AI12" s="21">
        <f>'Inputs'!$F$13*'Inputs'!$F$14*(IF(AI$5&lt;'Inputs'!$F$57,0,IF(AI$5&lt;='Inputs'!$F$58,'Inputs'!$F$10,IF(AI$5&gt;='Inputs'!$F$59,'Inputs'!$F$9,0))))</f>
        <v>6300.0</v>
      </c>
      <c r="AJ12" s="21">
        <f>'Inputs'!$F$13*'Inputs'!$F$14*(IF(AJ$5&lt;'Inputs'!$F$57,0,IF(AJ$5&lt;='Inputs'!$F$58,'Inputs'!$F$10,IF(AJ$5&gt;='Inputs'!$F$59,'Inputs'!$F$9,0))))</f>
        <v>6300.0</v>
      </c>
      <c r="AK12" s="21">
        <f>'Inputs'!$F$13*'Inputs'!$F$14*(IF(AK$5&lt;'Inputs'!$F$57,0,IF(AK$5&lt;='Inputs'!$F$58,'Inputs'!$F$10,IF(AK$5&gt;='Inputs'!$F$59,'Inputs'!$F$9,0))))</f>
        <v>6300.0</v>
      </c>
      <c r="AL12" s="21">
        <f>'Inputs'!$F$13*'Inputs'!$F$14*(IF(AL$5&lt;'Inputs'!$F$57,0,IF(AL$5&lt;='Inputs'!$F$58,'Inputs'!$F$10,IF(AL$5&gt;='Inputs'!$F$59,'Inputs'!$F$9,0))))</f>
        <v>6300.0</v>
      </c>
      <c r="AM12" s="21">
        <f>'Inputs'!$F$13*'Inputs'!$F$14*(IF(AM$5&lt;'Inputs'!$F$57,0,IF(AM$5&lt;='Inputs'!$F$58,'Inputs'!$F$10,IF(AM$5&gt;='Inputs'!$F$59,'Inputs'!$F$9,0))))</f>
        <v>6300.0</v>
      </c>
      <c r="AN12" s="21">
        <f>'Inputs'!$F$13*'Inputs'!$F$14*(IF(AN$5&lt;'Inputs'!$F$57,0,IF(AN$5&lt;='Inputs'!$F$58,'Inputs'!$F$10,IF(AN$5&gt;='Inputs'!$F$59,'Inputs'!$F$9,0))))</f>
        <v>6300.0</v>
      </c>
      <c r="AO12" s="21">
        <f>'Inputs'!$F$13*'Inputs'!$F$14*(IF(AO$5&lt;'Inputs'!$F$57,0,IF(AO$5&lt;='Inputs'!$F$58,'Inputs'!$F$10,IF(AO$5&gt;='Inputs'!$F$59,'Inputs'!$F$9,0))))</f>
        <v>6300.0</v>
      </c>
      <c r="AP12" s="21">
        <f>'Inputs'!$F$13*'Inputs'!$F$14*(IF(AP$5&lt;'Inputs'!$F$57,0,IF(AP$5&lt;='Inputs'!$F$58,'Inputs'!$F$10,IF(AP$5&gt;='Inputs'!$F$59,'Inputs'!$F$9,0))))</f>
        <v>6300.0</v>
      </c>
      <c r="AQ12" s="21">
        <f>'Inputs'!$F$13*'Inputs'!$F$14*(IF(AQ$5&lt;'Inputs'!$F$57,0,IF(AQ$5&lt;='Inputs'!$F$58,'Inputs'!$F$10,IF(AQ$5&gt;='Inputs'!$F$59,'Inputs'!$F$9,0))))</f>
        <v>6300.0</v>
      </c>
      <c r="AR12" s="21">
        <f>'Inputs'!$F$13*'Inputs'!$F$14*(IF(AR$5&lt;'Inputs'!$F$57,0,IF(AR$5&lt;='Inputs'!$F$58,'Inputs'!$F$10,IF(AR$5&gt;='Inputs'!$F$59,'Inputs'!$F$9,0))))</f>
        <v>6300.0</v>
      </c>
      <c r="AS12" s="21">
        <f>'Inputs'!$F$13*'Inputs'!$F$14*(IF(AS$5&lt;'Inputs'!$F$57,0,IF(AS$5&lt;='Inputs'!$F$58,'Inputs'!$F$10,IF(AS$5&gt;='Inputs'!$F$59,'Inputs'!$F$9,0))))</f>
        <v>6300.0</v>
      </c>
      <c r="AT12" s="21">
        <f>'Inputs'!$F$13*'Inputs'!$F$14*(IF(AT$5&lt;'Inputs'!$F$57,0,IF(AT$5&lt;='Inputs'!$F$58,'Inputs'!$F$10,IF(AT$5&gt;='Inputs'!$F$59,'Inputs'!$F$9,0))))</f>
        <v>6300.0</v>
      </c>
      <c r="AU12" s="21">
        <f>'Inputs'!$F$13*'Inputs'!$F$14*(IF(AU$5&lt;'Inputs'!$F$57,0,IF(AU$5&lt;='Inputs'!$F$58,'Inputs'!$F$10,IF(AU$5&gt;='Inputs'!$F$59,'Inputs'!$F$9,0))))</f>
        <v>6300.0</v>
      </c>
    </row>
    <row r="13" spans="1:48">
      <c r="A13" s="5" t="s">
        <v>210</v>
      </c>
      <c r="B13" s="12" t="s">
        <v>49</v>
      </c>
      <c r="C13" s="14" t="s">
        <v>211</v>
      </c>
      <c r="D13" s="21">
        <f>'Inputs'!$F$16*'Inputs'!$F$17*(IF(D$5&lt;'Inputs'!$F$57,0,IF(D$5&lt;='Inputs'!$F$58,'Inputs'!$F$10,IF(D$5&gt;='Inputs'!$F$59,'Inputs'!$F$9,0))))</f>
        <v>7200.0</v>
      </c>
      <c r="E13" s="21">
        <f>'Inputs'!$F$16*'Inputs'!$F$17*(IF(E$5&lt;'Inputs'!$F$57,0,IF(E$5&lt;='Inputs'!$F$58,'Inputs'!$F$10,IF(E$5&gt;='Inputs'!$F$59,'Inputs'!$F$9,0))))</f>
        <v>7200.0</v>
      </c>
      <c r="F13" s="21">
        <f>'Inputs'!$F$16*'Inputs'!$F$17*(IF(F$5&lt;'Inputs'!$F$57,0,IF(F$5&lt;='Inputs'!$F$58,'Inputs'!$F$10,IF(F$5&gt;='Inputs'!$F$59,'Inputs'!$F$9,0))))</f>
        <v>7200.0</v>
      </c>
      <c r="G13" s="21">
        <f>'Inputs'!$F$16*'Inputs'!$F$17*(IF(G$5&lt;'Inputs'!$F$57,0,IF(G$5&lt;='Inputs'!$F$58,'Inputs'!$F$10,IF(G$5&gt;='Inputs'!$F$59,'Inputs'!$F$9,0))))</f>
        <v>7200.0</v>
      </c>
      <c r="H13" s="21">
        <f>'Inputs'!$F$16*'Inputs'!$F$17*(IF(H$5&lt;'Inputs'!$F$57,0,IF(H$5&lt;='Inputs'!$F$58,'Inputs'!$F$10,IF(H$5&gt;='Inputs'!$F$59,'Inputs'!$F$9,0))))</f>
        <v>7200.0</v>
      </c>
      <c r="I13" s="21">
        <f>'Inputs'!$F$16*'Inputs'!$F$17*(IF(I$5&lt;'Inputs'!$F$57,0,IF(I$5&lt;='Inputs'!$F$58,'Inputs'!$F$10,IF(I$5&gt;='Inputs'!$F$59,'Inputs'!$F$9,0))))</f>
        <v>7200.0</v>
      </c>
      <c r="J13" s="21">
        <f>'Inputs'!$F$16*'Inputs'!$F$17*(IF(J$5&lt;'Inputs'!$F$57,0,IF(J$5&lt;='Inputs'!$F$58,'Inputs'!$F$10,IF(J$5&gt;='Inputs'!$F$59,'Inputs'!$F$9,0))))</f>
        <v>7200.0</v>
      </c>
      <c r="K13" s="21">
        <f>'Inputs'!$F$16*'Inputs'!$F$17*(IF(K$5&lt;'Inputs'!$F$57,0,IF(K$5&lt;='Inputs'!$F$58,'Inputs'!$F$10,IF(K$5&gt;='Inputs'!$F$59,'Inputs'!$F$9,0))))</f>
        <v>7200.0</v>
      </c>
      <c r="L13" s="21">
        <f>'Inputs'!$F$16*'Inputs'!$F$17*(IF(L$5&lt;'Inputs'!$F$57,0,IF(L$5&lt;='Inputs'!$F$58,'Inputs'!$F$10,IF(L$5&gt;='Inputs'!$F$59,'Inputs'!$F$9,0))))</f>
        <v>7200.0</v>
      </c>
      <c r="M13" s="21">
        <f>'Inputs'!$F$16*'Inputs'!$F$17*(IF(M$5&lt;'Inputs'!$F$57,0,IF(M$5&lt;='Inputs'!$F$58,'Inputs'!$F$10,IF(M$5&gt;='Inputs'!$F$59,'Inputs'!$F$9,0))))</f>
        <v>7200.0</v>
      </c>
      <c r="N13" s="21">
        <f>'Inputs'!$F$16*'Inputs'!$F$17*(IF(N$5&lt;'Inputs'!$F$57,0,IF(N$5&lt;='Inputs'!$F$58,'Inputs'!$F$10,IF(N$5&gt;='Inputs'!$F$59,'Inputs'!$F$9,0))))</f>
        <v>7200.0</v>
      </c>
      <c r="O13" s="21">
        <f>'Inputs'!$F$16*'Inputs'!$F$17*(IF(O$5&lt;'Inputs'!$F$57,0,IF(O$5&lt;='Inputs'!$F$58,'Inputs'!$F$10,IF(O$5&gt;='Inputs'!$F$59,'Inputs'!$F$9,0))))</f>
        <v>7200.0</v>
      </c>
      <c r="P13" s="21">
        <f>'Inputs'!$F$16*'Inputs'!$F$17*(IF(P$5&lt;'Inputs'!$F$57,0,IF(P$5&lt;='Inputs'!$F$58,'Inputs'!$F$10,IF(P$5&gt;='Inputs'!$F$59,'Inputs'!$F$9,0))))</f>
        <v>7200.0</v>
      </c>
      <c r="Q13" s="21">
        <f>'Inputs'!$F$16*'Inputs'!$F$17*(IF(Q$5&lt;'Inputs'!$F$57,0,IF(Q$5&lt;='Inputs'!$F$58,'Inputs'!$F$10,IF(Q$5&gt;='Inputs'!$F$59,'Inputs'!$F$9,0))))</f>
        <v>7200.0</v>
      </c>
      <c r="R13" s="21">
        <f>'Inputs'!$F$16*'Inputs'!$F$17*(IF(R$5&lt;'Inputs'!$F$57,0,IF(R$5&lt;='Inputs'!$F$58,'Inputs'!$F$10,IF(R$5&gt;='Inputs'!$F$59,'Inputs'!$F$9,0))))</f>
        <v>7200.0</v>
      </c>
      <c r="S13" s="21">
        <f>'Inputs'!$F$16*'Inputs'!$F$17*(IF(S$5&lt;'Inputs'!$F$57,0,IF(S$5&lt;='Inputs'!$F$58,'Inputs'!$F$10,IF(S$5&gt;='Inputs'!$F$59,'Inputs'!$F$9,0))))</f>
        <v>7200.0</v>
      </c>
      <c r="T13" s="21">
        <f>'Inputs'!$F$16*'Inputs'!$F$17*(IF(T$5&lt;'Inputs'!$F$57,0,IF(T$5&lt;='Inputs'!$F$58,'Inputs'!$F$10,IF(T$5&gt;='Inputs'!$F$59,'Inputs'!$F$9,0))))</f>
        <v>7200.0</v>
      </c>
      <c r="U13" s="21">
        <f>'Inputs'!$F$16*'Inputs'!$F$17*(IF(U$5&lt;'Inputs'!$F$57,0,IF(U$5&lt;='Inputs'!$F$58,'Inputs'!$F$10,IF(U$5&gt;='Inputs'!$F$59,'Inputs'!$F$9,0))))</f>
        <v>7200.0</v>
      </c>
      <c r="V13" s="21">
        <f>'Inputs'!$F$16*'Inputs'!$F$17*(IF(V$5&lt;'Inputs'!$F$57,0,IF(V$5&lt;='Inputs'!$F$58,'Inputs'!$F$10,IF(V$5&gt;='Inputs'!$F$59,'Inputs'!$F$9,0))))</f>
        <v>7200.0</v>
      </c>
      <c r="W13" s="21">
        <f>'Inputs'!$F$16*'Inputs'!$F$17*(IF(W$5&lt;'Inputs'!$F$57,0,IF(W$5&lt;='Inputs'!$F$58,'Inputs'!$F$10,IF(W$5&gt;='Inputs'!$F$59,'Inputs'!$F$9,0))))</f>
        <v>7200.0</v>
      </c>
      <c r="X13" s="21">
        <f>'Inputs'!$F$16*'Inputs'!$F$17*(IF(X$5&lt;'Inputs'!$F$57,0,IF(X$5&lt;='Inputs'!$F$58,'Inputs'!$F$10,IF(X$5&gt;='Inputs'!$F$59,'Inputs'!$F$9,0))))</f>
        <v>7200.0</v>
      </c>
      <c r="Y13" s="21">
        <f>'Inputs'!$F$16*'Inputs'!$F$17*(IF(Y$5&lt;'Inputs'!$F$57,0,IF(Y$5&lt;='Inputs'!$F$58,'Inputs'!$F$10,IF(Y$5&gt;='Inputs'!$F$59,'Inputs'!$F$9,0))))</f>
        <v>7200.0</v>
      </c>
      <c r="Z13" s="21">
        <f>'Inputs'!$F$16*'Inputs'!$F$17*(IF(Z$5&lt;'Inputs'!$F$57,0,IF(Z$5&lt;='Inputs'!$F$58,'Inputs'!$F$10,IF(Z$5&gt;='Inputs'!$F$59,'Inputs'!$F$9,0))))</f>
        <v>7200.0</v>
      </c>
      <c r="AA13" s="21">
        <f>'Inputs'!$F$16*'Inputs'!$F$17*(IF(AA$5&lt;'Inputs'!$F$57,0,IF(AA$5&lt;='Inputs'!$F$58,'Inputs'!$F$10,IF(AA$5&gt;='Inputs'!$F$59,'Inputs'!$F$9,0))))</f>
        <v>7200.0</v>
      </c>
      <c r="AB13" s="21">
        <f>'Inputs'!$F$16*'Inputs'!$F$17*(IF(AB$5&lt;'Inputs'!$F$57,0,IF(AB$5&lt;='Inputs'!$F$58,'Inputs'!$F$10,IF(AB$5&gt;='Inputs'!$F$59,'Inputs'!$F$9,0))))</f>
        <v>7200.0</v>
      </c>
      <c r="AC13" s="21">
        <f>'Inputs'!$F$16*'Inputs'!$F$17*(IF(AC$5&lt;'Inputs'!$F$57,0,IF(AC$5&lt;='Inputs'!$F$58,'Inputs'!$F$10,IF(AC$5&gt;='Inputs'!$F$59,'Inputs'!$F$9,0))))</f>
        <v>7200.0</v>
      </c>
      <c r="AD13" s="21">
        <f>'Inputs'!$F$16*'Inputs'!$F$17*(IF(AD$5&lt;'Inputs'!$F$57,0,IF(AD$5&lt;='Inputs'!$F$58,'Inputs'!$F$10,IF(AD$5&gt;='Inputs'!$F$59,'Inputs'!$F$9,0))))</f>
        <v>7200.0</v>
      </c>
      <c r="AE13" s="21">
        <f>'Inputs'!$F$16*'Inputs'!$F$17*(IF(AE$5&lt;'Inputs'!$F$57,0,IF(AE$5&lt;='Inputs'!$F$58,'Inputs'!$F$10,IF(AE$5&gt;='Inputs'!$F$59,'Inputs'!$F$9,0))))</f>
        <v>7200.0</v>
      </c>
      <c r="AF13" s="21">
        <f>'Inputs'!$F$16*'Inputs'!$F$17*(IF(AF$5&lt;'Inputs'!$F$57,0,IF(AF$5&lt;='Inputs'!$F$58,'Inputs'!$F$10,IF(AF$5&gt;='Inputs'!$F$59,'Inputs'!$F$9,0))))</f>
        <v>7200.0</v>
      </c>
      <c r="AG13" s="21">
        <f>'Inputs'!$F$16*'Inputs'!$F$17*(IF(AG$5&lt;'Inputs'!$F$57,0,IF(AG$5&lt;='Inputs'!$F$58,'Inputs'!$F$10,IF(AG$5&gt;='Inputs'!$F$59,'Inputs'!$F$9,0))))</f>
        <v>7200.0</v>
      </c>
      <c r="AH13" s="21">
        <f>'Inputs'!$F$16*'Inputs'!$F$17*(IF(AH$5&lt;'Inputs'!$F$57,0,IF(AH$5&lt;='Inputs'!$F$58,'Inputs'!$F$10,IF(AH$5&gt;='Inputs'!$F$59,'Inputs'!$F$9,0))))</f>
        <v>7200.0</v>
      </c>
      <c r="AI13" s="21">
        <f>'Inputs'!$F$16*'Inputs'!$F$17*(IF(AI$5&lt;'Inputs'!$F$57,0,IF(AI$5&lt;='Inputs'!$F$58,'Inputs'!$F$10,IF(AI$5&gt;='Inputs'!$F$59,'Inputs'!$F$9,0))))</f>
        <v>7200.0</v>
      </c>
      <c r="AJ13" s="21">
        <f>'Inputs'!$F$16*'Inputs'!$F$17*(IF(AJ$5&lt;'Inputs'!$F$57,0,IF(AJ$5&lt;='Inputs'!$F$58,'Inputs'!$F$10,IF(AJ$5&gt;='Inputs'!$F$59,'Inputs'!$F$9,0))))</f>
        <v>7200.0</v>
      </c>
      <c r="AK13" s="21">
        <f>'Inputs'!$F$16*'Inputs'!$F$17*(IF(AK$5&lt;'Inputs'!$F$57,0,IF(AK$5&lt;='Inputs'!$F$58,'Inputs'!$F$10,IF(AK$5&gt;='Inputs'!$F$59,'Inputs'!$F$9,0))))</f>
        <v>7200.0</v>
      </c>
      <c r="AL13" s="21">
        <f>'Inputs'!$F$16*'Inputs'!$F$17*(IF(AL$5&lt;'Inputs'!$F$57,0,IF(AL$5&lt;='Inputs'!$F$58,'Inputs'!$F$10,IF(AL$5&gt;='Inputs'!$F$59,'Inputs'!$F$9,0))))</f>
        <v>7200.0</v>
      </c>
      <c r="AM13" s="21">
        <f>'Inputs'!$F$16*'Inputs'!$F$17*(IF(AM$5&lt;'Inputs'!$F$57,0,IF(AM$5&lt;='Inputs'!$F$58,'Inputs'!$F$10,IF(AM$5&gt;='Inputs'!$F$59,'Inputs'!$F$9,0))))</f>
        <v>7200.0</v>
      </c>
      <c r="AN13" s="21">
        <f>'Inputs'!$F$16*'Inputs'!$F$17*(IF(AN$5&lt;'Inputs'!$F$57,0,IF(AN$5&lt;='Inputs'!$F$58,'Inputs'!$F$10,IF(AN$5&gt;='Inputs'!$F$59,'Inputs'!$F$9,0))))</f>
        <v>7200.0</v>
      </c>
      <c r="AO13" s="21">
        <f>'Inputs'!$F$16*'Inputs'!$F$17*(IF(AO$5&lt;'Inputs'!$F$57,0,IF(AO$5&lt;='Inputs'!$F$58,'Inputs'!$F$10,IF(AO$5&gt;='Inputs'!$F$59,'Inputs'!$F$9,0))))</f>
        <v>7200.0</v>
      </c>
      <c r="AP13" s="21">
        <f>'Inputs'!$F$16*'Inputs'!$F$17*(IF(AP$5&lt;'Inputs'!$F$57,0,IF(AP$5&lt;='Inputs'!$F$58,'Inputs'!$F$10,IF(AP$5&gt;='Inputs'!$F$59,'Inputs'!$F$9,0))))</f>
        <v>7200.0</v>
      </c>
      <c r="AQ13" s="21">
        <f>'Inputs'!$F$16*'Inputs'!$F$17*(IF(AQ$5&lt;'Inputs'!$F$57,0,IF(AQ$5&lt;='Inputs'!$F$58,'Inputs'!$F$10,IF(AQ$5&gt;='Inputs'!$F$59,'Inputs'!$F$9,0))))</f>
        <v>7200.0</v>
      </c>
      <c r="AR13" s="21">
        <f>'Inputs'!$F$16*'Inputs'!$F$17*(IF(AR$5&lt;'Inputs'!$F$57,0,IF(AR$5&lt;='Inputs'!$F$58,'Inputs'!$F$10,IF(AR$5&gt;='Inputs'!$F$59,'Inputs'!$F$9,0))))</f>
        <v>7200.0</v>
      </c>
      <c r="AS13" s="21">
        <f>'Inputs'!$F$16*'Inputs'!$F$17*(IF(AS$5&lt;'Inputs'!$F$57,0,IF(AS$5&lt;='Inputs'!$F$58,'Inputs'!$F$10,IF(AS$5&gt;='Inputs'!$F$59,'Inputs'!$F$9,0))))</f>
        <v>7200.0</v>
      </c>
      <c r="AT13" s="21">
        <f>'Inputs'!$F$16*'Inputs'!$F$17*(IF(AT$5&lt;'Inputs'!$F$57,0,IF(AT$5&lt;='Inputs'!$F$58,'Inputs'!$F$10,IF(AT$5&gt;='Inputs'!$F$59,'Inputs'!$F$9,0))))</f>
        <v>7200.0</v>
      </c>
      <c r="AU13" s="21">
        <f>'Inputs'!$F$16*'Inputs'!$F$17*(IF(AU$5&lt;'Inputs'!$F$57,0,IF(AU$5&lt;='Inputs'!$F$58,'Inputs'!$F$10,IF(AU$5&gt;='Inputs'!$F$59,'Inputs'!$F$9,0))))</f>
        <v>7200.0</v>
      </c>
    </row>
    <row r="14" spans="1:48">
      <c r="A14" s="19" t="s">
        <v>212</v>
      </c>
      <c r="B14" s="12" t="s">
        <v>49</v>
      </c>
      <c r="C14" s="14" t="s">
        <v>213</v>
      </c>
      <c r="D14" s="20">
        <f>SUM(D11:D13)</f>
        <v>23100.0</v>
      </c>
      <c r="E14" s="20">
        <f>SUM(E11:E13)</f>
        <v>23100.0</v>
      </c>
      <c r="F14" s="20">
        <f>SUM(F11:F13)</f>
        <v>23100.0</v>
      </c>
      <c r="G14" s="20">
        <f>SUM(G11:G13)</f>
        <v>23100.0</v>
      </c>
      <c r="H14" s="20">
        <f>SUM(H11:H13)</f>
        <v>23100.0</v>
      </c>
      <c r="I14" s="20">
        <f>SUM(I11:I13)</f>
        <v>23100.0</v>
      </c>
      <c r="J14" s="20">
        <f>SUM(J11:J13)</f>
        <v>23100.0</v>
      </c>
      <c r="K14" s="20">
        <f>SUM(K11:K13)</f>
        <v>23100.0</v>
      </c>
      <c r="L14" s="20">
        <f>SUM(L11:L13)</f>
        <v>23100.0</v>
      </c>
      <c r="M14" s="20">
        <f>SUM(M11:M13)</f>
        <v>23100.0</v>
      </c>
      <c r="N14" s="20">
        <f>SUM(N11:N13)</f>
        <v>23100.0</v>
      </c>
      <c r="O14" s="20">
        <f>SUM(O11:O13)</f>
        <v>23100.0</v>
      </c>
      <c r="P14" s="20">
        <f>SUM(P11:P13)</f>
        <v>23100.0</v>
      </c>
      <c r="Q14" s="20">
        <f>SUM(Q11:Q13)</f>
        <v>23100.0</v>
      </c>
      <c r="R14" s="20">
        <f>SUM(R11:R13)</f>
        <v>23100.0</v>
      </c>
      <c r="S14" s="20">
        <f>SUM(S11:S13)</f>
        <v>23100.0</v>
      </c>
      <c r="T14" s="20">
        <f>SUM(T11:T13)</f>
        <v>23100.0</v>
      </c>
      <c r="U14" s="20">
        <f>SUM(U11:U13)</f>
        <v>23100.0</v>
      </c>
      <c r="V14" s="20">
        <f>SUM(V11:V13)</f>
        <v>23100.0</v>
      </c>
      <c r="W14" s="20">
        <f>SUM(W11:W13)</f>
        <v>23100.0</v>
      </c>
      <c r="X14" s="20">
        <f>SUM(X11:X13)</f>
        <v>23100.0</v>
      </c>
      <c r="Y14" s="20">
        <f>SUM(Y11:Y13)</f>
        <v>23100.0</v>
      </c>
      <c r="Z14" s="20">
        <f>SUM(Z11:Z13)</f>
        <v>23100.0</v>
      </c>
      <c r="AA14" s="20">
        <f>SUM(AA11:AA13)</f>
        <v>23100.0</v>
      </c>
      <c r="AB14" s="20">
        <f>SUM(AB11:AB13)</f>
        <v>23100.0</v>
      </c>
      <c r="AC14" s="20">
        <f>SUM(AC11:AC13)</f>
        <v>23100.0</v>
      </c>
      <c r="AD14" s="20">
        <f>SUM(AD11:AD13)</f>
        <v>23100.0</v>
      </c>
      <c r="AE14" s="20">
        <f>SUM(AE11:AE13)</f>
        <v>23100.0</v>
      </c>
      <c r="AF14" s="20">
        <f>SUM(AF11:AF13)</f>
        <v>23100.0</v>
      </c>
      <c r="AG14" s="20">
        <f>SUM(AG11:AG13)</f>
        <v>23100.0</v>
      </c>
      <c r="AH14" s="20">
        <f>SUM(AH11:AH13)</f>
        <v>23100.0</v>
      </c>
      <c r="AI14" s="20">
        <f>SUM(AI11:AI13)</f>
        <v>23100.0</v>
      </c>
      <c r="AJ14" s="20">
        <f>SUM(AJ11:AJ13)</f>
        <v>23100.0</v>
      </c>
      <c r="AK14" s="20">
        <f>SUM(AK11:AK13)</f>
        <v>23100.0</v>
      </c>
      <c r="AL14" s="20">
        <f>SUM(AL11:AL13)</f>
        <v>23100.0</v>
      </c>
      <c r="AM14" s="20">
        <f>SUM(AM11:AM13)</f>
        <v>23100.0</v>
      </c>
      <c r="AN14" s="20">
        <f>SUM(AN11:AN13)</f>
        <v>23100.0</v>
      </c>
      <c r="AO14" s="20">
        <f>SUM(AO11:AO13)</f>
        <v>23100.0</v>
      </c>
      <c r="AP14" s="20">
        <f>SUM(AP11:AP13)</f>
        <v>23100.0</v>
      </c>
      <c r="AQ14" s="20">
        <f>SUM(AQ11:AQ13)</f>
        <v>23100.0</v>
      </c>
      <c r="AR14" s="20">
        <f>SUM(AR11:AR13)</f>
        <v>23100.0</v>
      </c>
      <c r="AS14" s="20">
        <f>SUM(AS11:AS13)</f>
        <v>23100.0</v>
      </c>
      <c r="AT14" s="20">
        <f>SUM(AT11:AT13)</f>
        <v>23100.0</v>
      </c>
      <c r="AU14" s="20">
        <f>SUM(AU11:AU13)</f>
        <v>23100.0</v>
      </c>
    </row>
    <row r="15" spans="1:48">
      <c r="A15" s="19" t="s">
        <v>214</v>
      </c>
      <c r="B15" s="12" t="s">
        <v>49</v>
      </c>
      <c r="C15" s="14" t="s">
        <v>215</v>
      </c>
      <c r="D15" s="20">
        <f>D10+D14</f>
        <v>31284.42</v>
      </c>
      <c r="E15" s="20">
        <f>E10+E14</f>
        <v>31486.6084</v>
      </c>
      <c r="F15" s="20">
        <f>F10+F14</f>
        <v>31693.995568</v>
      </c>
      <c r="G15" s="20">
        <f>G10+G14</f>
        <v>31906.72012936</v>
      </c>
      <c r="H15" s="20">
        <f>H10+H14</f>
        <v>32124.9245214472</v>
      </c>
      <c r="I15" s="20">
        <f>I10+I14</f>
        <v>41945.02414902308</v>
      </c>
      <c r="J15" s="20">
        <f>J10+J14</f>
        <v>46172.51446080479</v>
      </c>
      <c r="K15" s="20">
        <f>K10+K14</f>
        <v>50333.19851304369</v>
      </c>
      <c r="L15" s="20">
        <f>L10+L14</f>
        <v>61535.550177953686</v>
      </c>
      <c r="M15" s="20">
        <f>M10+M14</f>
        <v>65120.34098890305</v>
      </c>
      <c r="N15" s="20">
        <f>N10+N14</f>
        <v>68655.55555555555</v>
      </c>
      <c r="O15" s="20">
        <f>O10+O14</f>
        <v>68655.55555555556</v>
      </c>
      <c r="P15" s="20">
        <f>P10+P14</f>
        <v>68655.55555555555</v>
      </c>
      <c r="Q15" s="20">
        <f>Q10+Q14</f>
        <v>68655.55555555556</v>
      </c>
      <c r="R15" s="20">
        <f>R10+R14</f>
        <v>68655.55555555556</v>
      </c>
      <c r="S15" s="20">
        <f>S10+S14</f>
        <v>74911.11111111111</v>
      </c>
      <c r="T15" s="20">
        <f>T10+T14</f>
        <v>74911.11111111111</v>
      </c>
      <c r="U15" s="20">
        <f>U10+U14</f>
        <v>74911.11111111111</v>
      </c>
      <c r="V15" s="20">
        <f>V10+V14</f>
        <v>74911.11111111111</v>
      </c>
      <c r="W15" s="20">
        <f>W10+W14</f>
        <v>74911.11111111111</v>
      </c>
      <c r="X15" s="20">
        <f>X10+X14</f>
        <v>74911.11111111111</v>
      </c>
      <c r="Y15" s="20">
        <f>Y10+Y14</f>
        <v>74911.11111111111</v>
      </c>
      <c r="Z15" s="20">
        <f>Z10+Z14</f>
        <v>74911.11111111111</v>
      </c>
      <c r="AA15" s="20">
        <f>AA10+AA14</f>
        <v>74911.11111111111</v>
      </c>
      <c r="AB15" s="20">
        <f>AB10+AB14</f>
        <v>74911.11111111111</v>
      </c>
      <c r="AC15" s="20">
        <f>AC10+AC14</f>
        <v>74911.11111111111</v>
      </c>
      <c r="AD15" s="20">
        <f>AD10+AD14</f>
        <v>74911.11111111111</v>
      </c>
      <c r="AE15" s="20">
        <f>AE10+AE14</f>
        <v>74911.11111111111</v>
      </c>
      <c r="AF15" s="20">
        <f>AF10+AF14</f>
        <v>74911.11111111111</v>
      </c>
      <c r="AG15" s="20">
        <f>AG10+AG14</f>
        <v>74911.11111111111</v>
      </c>
      <c r="AH15" s="20">
        <f>AH10+AH14</f>
        <v>74911.11111111111</v>
      </c>
      <c r="AI15" s="20">
        <f>AI10+AI14</f>
        <v>74911.11111111111</v>
      </c>
      <c r="AJ15" s="20">
        <f>AJ10+AJ14</f>
        <v>74911.11111111111</v>
      </c>
      <c r="AK15" s="20">
        <f>AK10+AK14</f>
        <v>74911.11111111111</v>
      </c>
      <c r="AL15" s="20">
        <f>AL10+AL14</f>
        <v>74911.11111111111</v>
      </c>
      <c r="AM15" s="20">
        <f>AM10+AM14</f>
        <v>74911.11111111111</v>
      </c>
      <c r="AN15" s="20">
        <f>AN10+AN14</f>
        <v>74911.11111111112</v>
      </c>
      <c r="AO15" s="20">
        <f>AO10+AO14</f>
        <v>74911.11111111111</v>
      </c>
      <c r="AP15" s="20">
        <f>AP10+AP14</f>
        <v>74911.11111111111</v>
      </c>
      <c r="AQ15" s="20">
        <f>AQ10+AQ14</f>
        <v>74911.11111111111</v>
      </c>
      <c r="AR15" s="20">
        <f>AR10+AR14</f>
        <v>74911.11111111111</v>
      </c>
      <c r="AS15" s="20">
        <f>AS10+AS14</f>
        <v>74911.11111111111</v>
      </c>
      <c r="AT15" s="20">
        <f>AT10+AT14</f>
        <v>74911.11111111111</v>
      </c>
      <c r="AU15" s="20">
        <f>AU10+AU14</f>
        <v>74911.11111111111</v>
      </c>
    </row>
    <row r="16" spans="1:48">
      <c r="A16" s="19" t="s">
        <v>216</v>
      </c>
      <c r="B16" s="12" t="s">
        <v>49</v>
      </c>
      <c r="C16" s="14" t="s">
        <v>217</v>
      </c>
      <c r="D16" s="20">
        <f>D10+'Inputs'!$F$13*'Inputs'!$F$15*(IF(D$5&lt;'Inputs'!$F$57,0,IF(D$5&lt;='Inputs'!$F$58,'Inputs'!$F$10,IF(D$5&gt;='Inputs'!$F$59,'Inputs'!$F$9,0))))+D13</f>
        <v>19434.42</v>
      </c>
      <c r="E16" s="20">
        <f>E10+'Inputs'!$F$13*'Inputs'!$F$15*(IF(E$5&lt;'Inputs'!$F$57,0,IF(E$5&lt;='Inputs'!$F$58,'Inputs'!$F$10,IF(E$5&gt;='Inputs'!$F$59,'Inputs'!$F$9,0))))+E13</f>
        <v>19636.6084</v>
      </c>
      <c r="F16" s="20">
        <f>F10+'Inputs'!$F$13*'Inputs'!$F$15*(IF(F$5&lt;'Inputs'!$F$57,0,IF(F$5&lt;='Inputs'!$F$58,'Inputs'!$F$10,IF(F$5&gt;='Inputs'!$F$59,'Inputs'!$F$9,0))))+F13</f>
        <v>19843.995568</v>
      </c>
      <c r="G16" s="20">
        <f>G10+'Inputs'!$F$13*'Inputs'!$F$15*(IF(G$5&lt;'Inputs'!$F$57,0,IF(G$5&lt;='Inputs'!$F$58,'Inputs'!$F$10,IF(G$5&gt;='Inputs'!$F$59,'Inputs'!$F$9,0))))+G13</f>
        <v>20056.72012936</v>
      </c>
      <c r="H16" s="20">
        <f>H10+'Inputs'!$F$13*'Inputs'!$F$15*(IF(H$5&lt;'Inputs'!$F$57,0,IF(H$5&lt;='Inputs'!$F$58,'Inputs'!$F$10,IF(H$5&gt;='Inputs'!$F$59,'Inputs'!$F$9,0))))+H13</f>
        <v>20274.9245214472</v>
      </c>
      <c r="I16" s="20">
        <f>I10+'Inputs'!$F$13*'Inputs'!$F$15*(IF(I$5&lt;'Inputs'!$F$57,0,IF(I$5&lt;='Inputs'!$F$58,'Inputs'!$F$10,IF(I$5&gt;='Inputs'!$F$59,'Inputs'!$F$9,0))))+I13</f>
        <v>30095.024149023076</v>
      </c>
      <c r="J16" s="20">
        <f>J10+'Inputs'!$F$13*'Inputs'!$F$15*(IF(J$5&lt;'Inputs'!$F$57,0,IF(J$5&lt;='Inputs'!$F$58,'Inputs'!$F$10,IF(J$5&gt;='Inputs'!$F$59,'Inputs'!$F$9,0))))+J13</f>
        <v>34322.51446080479</v>
      </c>
      <c r="K16" s="20">
        <f>K10+'Inputs'!$F$13*'Inputs'!$F$15*(IF(K$5&lt;'Inputs'!$F$57,0,IF(K$5&lt;='Inputs'!$F$58,'Inputs'!$F$10,IF(K$5&gt;='Inputs'!$F$59,'Inputs'!$F$9,0))))+K13</f>
        <v>38483.19851304369</v>
      </c>
      <c r="L16" s="20">
        <f>L10+'Inputs'!$F$13*'Inputs'!$F$15*(IF(L$5&lt;'Inputs'!$F$57,0,IF(L$5&lt;='Inputs'!$F$58,'Inputs'!$F$10,IF(L$5&gt;='Inputs'!$F$59,'Inputs'!$F$9,0))))+L13</f>
        <v>49685.550177953686</v>
      </c>
      <c r="M16" s="20">
        <f>M10+'Inputs'!$F$13*'Inputs'!$F$15*(IF(M$5&lt;'Inputs'!$F$57,0,IF(M$5&lt;='Inputs'!$F$58,'Inputs'!$F$10,IF(M$5&gt;='Inputs'!$F$59,'Inputs'!$F$9,0))))+M13</f>
        <v>53270.34098890305</v>
      </c>
      <c r="N16" s="20">
        <f>N10+'Inputs'!$F$13*'Inputs'!$F$15*(IF(N$5&lt;'Inputs'!$F$57,0,IF(N$5&lt;='Inputs'!$F$58,'Inputs'!$F$10,IF(N$5&gt;='Inputs'!$F$59,'Inputs'!$F$9,0))))+N13</f>
        <v>56805.55555555555</v>
      </c>
      <c r="O16" s="20">
        <f>O10+'Inputs'!$F$13*'Inputs'!$F$15*(IF(O$5&lt;'Inputs'!$F$57,0,IF(O$5&lt;='Inputs'!$F$58,'Inputs'!$F$10,IF(O$5&gt;='Inputs'!$F$59,'Inputs'!$F$9,0))))+O13</f>
        <v>56805.555555555555</v>
      </c>
      <c r="P16" s="20">
        <f>P10+'Inputs'!$F$13*'Inputs'!$F$15*(IF(P$5&lt;'Inputs'!$F$57,0,IF(P$5&lt;='Inputs'!$F$58,'Inputs'!$F$10,IF(P$5&gt;='Inputs'!$F$59,'Inputs'!$F$9,0))))+P13</f>
        <v>56805.55555555555</v>
      </c>
      <c r="Q16" s="20">
        <f>Q10+'Inputs'!$F$13*'Inputs'!$F$15*(IF(Q$5&lt;'Inputs'!$F$57,0,IF(Q$5&lt;='Inputs'!$F$58,'Inputs'!$F$10,IF(Q$5&gt;='Inputs'!$F$59,'Inputs'!$F$9,0))))+Q13</f>
        <v>56805.555555555555</v>
      </c>
      <c r="R16" s="20">
        <f>R10+'Inputs'!$F$13*'Inputs'!$F$15*(IF(R$5&lt;'Inputs'!$F$57,0,IF(R$5&lt;='Inputs'!$F$58,'Inputs'!$F$10,IF(R$5&gt;='Inputs'!$F$59,'Inputs'!$F$9,0))))+R13</f>
        <v>56805.555555555555</v>
      </c>
      <c r="S16" s="20">
        <f>S10+'Inputs'!$F$13*'Inputs'!$F$15*(IF(S$5&lt;'Inputs'!$F$57,0,IF(S$5&lt;='Inputs'!$F$58,'Inputs'!$F$10,IF(S$5&gt;='Inputs'!$F$59,'Inputs'!$F$9,0))))+S13</f>
        <v>63061.11111111111</v>
      </c>
      <c r="T16" s="20">
        <f>T10+'Inputs'!$F$13*'Inputs'!$F$15*(IF(T$5&lt;'Inputs'!$F$57,0,IF(T$5&lt;='Inputs'!$F$58,'Inputs'!$F$10,IF(T$5&gt;='Inputs'!$F$59,'Inputs'!$F$9,0))))+T13</f>
        <v>63061.11111111111</v>
      </c>
      <c r="U16" s="20">
        <f>U10+'Inputs'!$F$13*'Inputs'!$F$15*(IF(U$5&lt;'Inputs'!$F$57,0,IF(U$5&lt;='Inputs'!$F$58,'Inputs'!$F$10,IF(U$5&gt;='Inputs'!$F$59,'Inputs'!$F$9,0))))+U13</f>
        <v>63061.11111111111</v>
      </c>
      <c r="V16" s="20">
        <f>V10+'Inputs'!$F$13*'Inputs'!$F$15*(IF(V$5&lt;'Inputs'!$F$57,0,IF(V$5&lt;='Inputs'!$F$58,'Inputs'!$F$10,IF(V$5&gt;='Inputs'!$F$59,'Inputs'!$F$9,0))))+V13</f>
        <v>63061.11111111111</v>
      </c>
      <c r="W16" s="20">
        <f>W10+'Inputs'!$F$13*'Inputs'!$F$15*(IF(W$5&lt;'Inputs'!$F$57,0,IF(W$5&lt;='Inputs'!$F$58,'Inputs'!$F$10,IF(W$5&gt;='Inputs'!$F$59,'Inputs'!$F$9,0))))+W13</f>
        <v>63061.11111111111</v>
      </c>
      <c r="X16" s="20">
        <f>X10+'Inputs'!$F$13*'Inputs'!$F$15*(IF(X$5&lt;'Inputs'!$F$57,0,IF(X$5&lt;='Inputs'!$F$58,'Inputs'!$F$10,IF(X$5&gt;='Inputs'!$F$59,'Inputs'!$F$9,0))))+X13</f>
        <v>63061.11111111111</v>
      </c>
      <c r="Y16" s="20">
        <f>Y10+'Inputs'!$F$13*'Inputs'!$F$15*(IF(Y$5&lt;'Inputs'!$F$57,0,IF(Y$5&lt;='Inputs'!$F$58,'Inputs'!$F$10,IF(Y$5&gt;='Inputs'!$F$59,'Inputs'!$F$9,0))))+Y13</f>
        <v>63061.11111111111</v>
      </c>
      <c r="Z16" s="20">
        <f>Z10+'Inputs'!$F$13*'Inputs'!$F$15*(IF(Z$5&lt;'Inputs'!$F$57,0,IF(Z$5&lt;='Inputs'!$F$58,'Inputs'!$F$10,IF(Z$5&gt;='Inputs'!$F$59,'Inputs'!$F$9,0))))+Z13</f>
        <v>63061.11111111111</v>
      </c>
      <c r="AA16" s="20">
        <f>AA10+'Inputs'!$F$13*'Inputs'!$F$15*(IF(AA$5&lt;'Inputs'!$F$57,0,IF(AA$5&lt;='Inputs'!$F$58,'Inputs'!$F$10,IF(AA$5&gt;='Inputs'!$F$59,'Inputs'!$F$9,0))))+AA13</f>
        <v>63061.11111111111</v>
      </c>
      <c r="AB16" s="20">
        <f>AB10+'Inputs'!$F$13*'Inputs'!$F$15*(IF(AB$5&lt;'Inputs'!$F$57,0,IF(AB$5&lt;='Inputs'!$F$58,'Inputs'!$F$10,IF(AB$5&gt;='Inputs'!$F$59,'Inputs'!$F$9,0))))+AB13</f>
        <v>63061.11111111111</v>
      </c>
      <c r="AC16" s="20">
        <f>AC10+'Inputs'!$F$13*'Inputs'!$F$15*(IF(AC$5&lt;'Inputs'!$F$57,0,IF(AC$5&lt;='Inputs'!$F$58,'Inputs'!$F$10,IF(AC$5&gt;='Inputs'!$F$59,'Inputs'!$F$9,0))))+AC13</f>
        <v>63061.11111111111</v>
      </c>
      <c r="AD16" s="20">
        <f>AD10+'Inputs'!$F$13*'Inputs'!$F$15*(IF(AD$5&lt;'Inputs'!$F$57,0,IF(AD$5&lt;='Inputs'!$F$58,'Inputs'!$F$10,IF(AD$5&gt;='Inputs'!$F$59,'Inputs'!$F$9,0))))+AD13</f>
        <v>63061.11111111111</v>
      </c>
      <c r="AE16" s="20">
        <f>AE10+'Inputs'!$F$13*'Inputs'!$F$15*(IF(AE$5&lt;'Inputs'!$F$57,0,IF(AE$5&lt;='Inputs'!$F$58,'Inputs'!$F$10,IF(AE$5&gt;='Inputs'!$F$59,'Inputs'!$F$9,0))))+AE13</f>
        <v>63061.11111111111</v>
      </c>
      <c r="AF16" s="20">
        <f>AF10+'Inputs'!$F$13*'Inputs'!$F$15*(IF(AF$5&lt;'Inputs'!$F$57,0,IF(AF$5&lt;='Inputs'!$F$58,'Inputs'!$F$10,IF(AF$5&gt;='Inputs'!$F$59,'Inputs'!$F$9,0))))+AF13</f>
        <v>63061.11111111111</v>
      </c>
      <c r="AG16" s="20">
        <f>AG10+'Inputs'!$F$13*'Inputs'!$F$15*(IF(AG$5&lt;'Inputs'!$F$57,0,IF(AG$5&lt;='Inputs'!$F$58,'Inputs'!$F$10,IF(AG$5&gt;='Inputs'!$F$59,'Inputs'!$F$9,0))))+AG13</f>
        <v>63061.11111111111</v>
      </c>
      <c r="AH16" s="20">
        <f>AH10+'Inputs'!$F$13*'Inputs'!$F$15*(IF(AH$5&lt;'Inputs'!$F$57,0,IF(AH$5&lt;='Inputs'!$F$58,'Inputs'!$F$10,IF(AH$5&gt;='Inputs'!$F$59,'Inputs'!$F$9,0))))+AH13</f>
        <v>63061.11111111111</v>
      </c>
      <c r="AI16" s="20">
        <f>AI10+'Inputs'!$F$13*'Inputs'!$F$15*(IF(AI$5&lt;'Inputs'!$F$57,0,IF(AI$5&lt;='Inputs'!$F$58,'Inputs'!$F$10,IF(AI$5&gt;='Inputs'!$F$59,'Inputs'!$F$9,0))))+AI13</f>
        <v>63061.11111111111</v>
      </c>
      <c r="AJ16" s="20">
        <f>AJ10+'Inputs'!$F$13*'Inputs'!$F$15*(IF(AJ$5&lt;'Inputs'!$F$57,0,IF(AJ$5&lt;='Inputs'!$F$58,'Inputs'!$F$10,IF(AJ$5&gt;='Inputs'!$F$59,'Inputs'!$F$9,0))))+AJ13</f>
        <v>63061.11111111111</v>
      </c>
      <c r="AK16" s="20">
        <f>AK10+'Inputs'!$F$13*'Inputs'!$F$15*(IF(AK$5&lt;'Inputs'!$F$57,0,IF(AK$5&lt;='Inputs'!$F$58,'Inputs'!$F$10,IF(AK$5&gt;='Inputs'!$F$59,'Inputs'!$F$9,0))))+AK13</f>
        <v>63061.11111111111</v>
      </c>
      <c r="AL16" s="20">
        <f>AL10+'Inputs'!$F$13*'Inputs'!$F$15*(IF(AL$5&lt;'Inputs'!$F$57,0,IF(AL$5&lt;='Inputs'!$F$58,'Inputs'!$F$10,IF(AL$5&gt;='Inputs'!$F$59,'Inputs'!$F$9,0))))+AL13</f>
        <v>63061.11111111111</v>
      </c>
      <c r="AM16" s="20">
        <f>AM10+'Inputs'!$F$13*'Inputs'!$F$15*(IF(AM$5&lt;'Inputs'!$F$57,0,IF(AM$5&lt;='Inputs'!$F$58,'Inputs'!$F$10,IF(AM$5&gt;='Inputs'!$F$59,'Inputs'!$F$9,0))))+AM13</f>
        <v>63061.11111111111</v>
      </c>
      <c r="AN16" s="20">
        <f>AN10+'Inputs'!$F$13*'Inputs'!$F$15*(IF(AN$5&lt;'Inputs'!$F$57,0,IF(AN$5&lt;='Inputs'!$F$58,'Inputs'!$F$10,IF(AN$5&gt;='Inputs'!$F$59,'Inputs'!$F$9,0))))+AN13</f>
        <v>63061.11111111112</v>
      </c>
      <c r="AO16" s="20">
        <f>AO10+'Inputs'!$F$13*'Inputs'!$F$15*(IF(AO$5&lt;'Inputs'!$F$57,0,IF(AO$5&lt;='Inputs'!$F$58,'Inputs'!$F$10,IF(AO$5&gt;='Inputs'!$F$59,'Inputs'!$F$9,0))))+AO13</f>
        <v>63061.11111111111</v>
      </c>
      <c r="AP16" s="20">
        <f>AP10+'Inputs'!$F$13*'Inputs'!$F$15*(IF(AP$5&lt;'Inputs'!$F$57,0,IF(AP$5&lt;='Inputs'!$F$58,'Inputs'!$F$10,IF(AP$5&gt;='Inputs'!$F$59,'Inputs'!$F$9,0))))+AP13</f>
        <v>63061.11111111111</v>
      </c>
      <c r="AQ16" s="20">
        <f>AQ10+'Inputs'!$F$13*'Inputs'!$F$15*(IF(AQ$5&lt;'Inputs'!$F$57,0,IF(AQ$5&lt;='Inputs'!$F$58,'Inputs'!$F$10,IF(AQ$5&gt;='Inputs'!$F$59,'Inputs'!$F$9,0))))+AQ13</f>
        <v>63061.11111111111</v>
      </c>
      <c r="AR16" s="20">
        <f>AR10+'Inputs'!$F$13*'Inputs'!$F$15*(IF(AR$5&lt;'Inputs'!$F$57,0,IF(AR$5&lt;='Inputs'!$F$58,'Inputs'!$F$10,IF(AR$5&gt;='Inputs'!$F$59,'Inputs'!$F$9,0))))+AR13</f>
        <v>63061.11111111111</v>
      </c>
      <c r="AS16" s="20">
        <f>AS10+'Inputs'!$F$13*'Inputs'!$F$15*(IF(AS$5&lt;'Inputs'!$F$57,0,IF(AS$5&lt;='Inputs'!$F$58,'Inputs'!$F$10,IF(AS$5&gt;='Inputs'!$F$59,'Inputs'!$F$9,0))))+AS13</f>
        <v>63061.11111111111</v>
      </c>
      <c r="AT16" s="20">
        <f>AT10+'Inputs'!$F$13*'Inputs'!$F$15*(IF(AT$5&lt;'Inputs'!$F$57,0,IF(AT$5&lt;='Inputs'!$F$58,'Inputs'!$F$10,IF(AT$5&gt;='Inputs'!$F$59,'Inputs'!$F$9,0))))+AT13</f>
        <v>63061.11111111111</v>
      </c>
      <c r="AU16" s="20">
        <f>AU10+'Inputs'!$F$13*'Inputs'!$F$15*(IF(AU$5&lt;'Inputs'!$F$57,0,IF(AU$5&lt;='Inputs'!$F$58,'Inputs'!$F$10,IF(AU$5&gt;='Inputs'!$F$59,'Inputs'!$F$9,0))))+AU13</f>
        <v>63061.11111111111</v>
      </c>
    </row>
    <row r="17" spans="1:48">
      <c r="A17" s="3" t="s">
        <v>195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</row>
    <row r="18" spans="1:48">
      <c r="A18" s="5" t="s">
        <v>218</v>
      </c>
      <c r="B18" s="12" t="s">
        <v>49</v>
      </c>
      <c r="C18" s="14" t="s">
        <v>219</v>
      </c>
      <c r="D18" s="21">
        <f>D16*'Inputs'!$F$27</f>
        <v>3886.884</v>
      </c>
      <c r="E18" s="21">
        <f>E16*'Inputs'!$F$27</f>
        <v>3927.3216800000005</v>
      </c>
      <c r="F18" s="21">
        <f>F16*'Inputs'!$F$27</f>
        <v>3968.7991136</v>
      </c>
      <c r="G18" s="21">
        <f>G16*'Inputs'!$F$27</f>
        <v>4011.344025872</v>
      </c>
      <c r="H18" s="21">
        <f>H16*'Inputs'!$F$27</f>
        <v>4054.9849042894402</v>
      </c>
      <c r="I18" s="21">
        <f>I16*'Inputs'!$F$27</f>
        <v>6019.004829804616</v>
      </c>
      <c r="J18" s="21">
        <f>J16*'Inputs'!$F$27</f>
        <v>6864.502892160959</v>
      </c>
      <c r="K18" s="21">
        <f>K16*'Inputs'!$F$27</f>
        <v>7696.639702608738</v>
      </c>
      <c r="L18" s="21">
        <f>L16*'Inputs'!$F$27</f>
        <v>9937.110035590738</v>
      </c>
      <c r="M18" s="21">
        <f>M16*'Inputs'!$F$27</f>
        <v>10654.06819778061</v>
      </c>
      <c r="N18" s="21">
        <f>N16*'Inputs'!$F$27</f>
        <v>11361.11111111111</v>
      </c>
      <c r="O18" s="21">
        <f>O16*'Inputs'!$F$27</f>
        <v>11361.111111111111</v>
      </c>
      <c r="P18" s="21">
        <f>P16*'Inputs'!$F$27</f>
        <v>11361.11111111111</v>
      </c>
      <c r="Q18" s="21">
        <f>Q16*'Inputs'!$F$27</f>
        <v>11361.111111111111</v>
      </c>
      <c r="R18" s="21">
        <f>R16*'Inputs'!$F$27</f>
        <v>11361.111111111111</v>
      </c>
      <c r="S18" s="21">
        <f>S16*'Inputs'!$F$27</f>
        <v>12612.222222222223</v>
      </c>
      <c r="T18" s="21">
        <f>T16*'Inputs'!$F$27</f>
        <v>12612.222222222223</v>
      </c>
      <c r="U18" s="21">
        <f>U16*'Inputs'!$F$27</f>
        <v>12612.222222222223</v>
      </c>
      <c r="V18" s="21">
        <f>V16*'Inputs'!$F$27</f>
        <v>12612.222222222223</v>
      </c>
      <c r="W18" s="21">
        <f>W16*'Inputs'!$F$27</f>
        <v>12612.222222222223</v>
      </c>
      <c r="X18" s="21">
        <f>X16*'Inputs'!$F$27</f>
        <v>12612.222222222223</v>
      </c>
      <c r="Y18" s="21">
        <f>Y16*'Inputs'!$F$27</f>
        <v>12612.222222222223</v>
      </c>
      <c r="Z18" s="21">
        <f>Z16*'Inputs'!$F$27</f>
        <v>12612.222222222223</v>
      </c>
      <c r="AA18" s="21">
        <f>AA16*'Inputs'!$F$27</f>
        <v>12612.222222222223</v>
      </c>
      <c r="AB18" s="21">
        <f>AB16*'Inputs'!$F$27</f>
        <v>12612.222222222223</v>
      </c>
      <c r="AC18" s="21">
        <f>AC16*'Inputs'!$F$27</f>
        <v>12612.222222222223</v>
      </c>
      <c r="AD18" s="21">
        <f>AD16*'Inputs'!$F$27</f>
        <v>12612.222222222223</v>
      </c>
      <c r="AE18" s="21">
        <f>AE16*'Inputs'!$F$27</f>
        <v>12612.222222222223</v>
      </c>
      <c r="AF18" s="21">
        <f>AF16*'Inputs'!$F$27</f>
        <v>12612.222222222223</v>
      </c>
      <c r="AG18" s="21">
        <f>AG16*'Inputs'!$F$27</f>
        <v>12612.222222222223</v>
      </c>
      <c r="AH18" s="21">
        <f>AH16*'Inputs'!$F$27</f>
        <v>12612.222222222223</v>
      </c>
      <c r="AI18" s="21">
        <f>AI16*'Inputs'!$F$27</f>
        <v>12612.222222222223</v>
      </c>
      <c r="AJ18" s="21">
        <f>AJ16*'Inputs'!$F$27</f>
        <v>12612.222222222223</v>
      </c>
      <c r="AK18" s="21">
        <f>AK16*'Inputs'!$F$27</f>
        <v>12612.222222222223</v>
      </c>
      <c r="AL18" s="21">
        <f>AL16*'Inputs'!$F$27</f>
        <v>12612.222222222223</v>
      </c>
      <c r="AM18" s="21">
        <f>AM16*'Inputs'!$F$27</f>
        <v>12612.222222222223</v>
      </c>
      <c r="AN18" s="21">
        <f>AN16*'Inputs'!$F$27</f>
        <v>12612.222222222224</v>
      </c>
      <c r="AO18" s="21">
        <f>AO16*'Inputs'!$F$27</f>
        <v>12612.222222222223</v>
      </c>
      <c r="AP18" s="21">
        <f>AP16*'Inputs'!$F$27</f>
        <v>12612.222222222223</v>
      </c>
      <c r="AQ18" s="21">
        <f>AQ16*'Inputs'!$F$27</f>
        <v>12612.222222222223</v>
      </c>
      <c r="AR18" s="21">
        <f>AR16*'Inputs'!$F$27</f>
        <v>12612.222222222223</v>
      </c>
      <c r="AS18" s="21">
        <f>AS16*'Inputs'!$F$27</f>
        <v>12612.222222222223</v>
      </c>
      <c r="AT18" s="21">
        <f>AT16*'Inputs'!$F$27</f>
        <v>12612.222222222223</v>
      </c>
      <c r="AU18" s="21">
        <f>AU16*'Inputs'!$F$27</f>
        <v>12612.222222222223</v>
      </c>
    </row>
    <row r="19" spans="1:48">
      <c r="A19" s="5" t="s">
        <v>220</v>
      </c>
      <c r="B19" s="12" t="s">
        <v>221</v>
      </c>
      <c r="C19" s="14" t="s">
        <v>222</v>
      </c>
      <c r="D19" s="22">
        <f>IFERROR(D18/D16,0)</f>
        <v>0.2</v>
      </c>
      <c r="E19" s="22">
        <f>IFERROR(E18/E16,0)</f>
        <v>0.2</v>
      </c>
      <c r="F19" s="22">
        <f>IFERROR(F18/F16,0)</f>
        <v>0.2</v>
      </c>
      <c r="G19" s="22">
        <f>IFERROR(G18/G16,0)</f>
        <v>0.2</v>
      </c>
      <c r="H19" s="22">
        <f>IFERROR(H18/H16,0)</f>
        <v>0.2</v>
      </c>
      <c r="I19" s="22">
        <f>IFERROR(I18/I16,0)</f>
        <v>0.2</v>
      </c>
      <c r="J19" s="22">
        <f>IFERROR(J18/J16,0)</f>
        <v>0.2</v>
      </c>
      <c r="K19" s="22">
        <f>IFERROR(K18/K16,0)</f>
        <v>0.2</v>
      </c>
      <c r="L19" s="22">
        <f>IFERROR(L18/L16,0)</f>
        <v>0.2</v>
      </c>
      <c r="M19" s="22">
        <f>IFERROR(M18/M16,0)</f>
        <v>0.2</v>
      </c>
      <c r="N19" s="22">
        <f>IFERROR(N18/N16,0)</f>
        <v>0.2</v>
      </c>
      <c r="O19" s="22">
        <f>IFERROR(O18/O16,0)</f>
        <v>0.2</v>
      </c>
      <c r="P19" s="22">
        <f>IFERROR(P18/P16,0)</f>
        <v>0.2</v>
      </c>
      <c r="Q19" s="22">
        <f>IFERROR(Q18/Q16,0)</f>
        <v>0.2</v>
      </c>
      <c r="R19" s="22">
        <f>IFERROR(R18/R16,0)</f>
        <v>0.2</v>
      </c>
      <c r="S19" s="22">
        <f>IFERROR(S18/S16,0)</f>
        <v>0.2</v>
      </c>
      <c r="T19" s="22">
        <f>IFERROR(T18/T16,0)</f>
        <v>0.2</v>
      </c>
      <c r="U19" s="22">
        <f>IFERROR(U18/U16,0)</f>
        <v>0.2</v>
      </c>
      <c r="V19" s="22">
        <f>IFERROR(V18/V16,0)</f>
        <v>0.2</v>
      </c>
      <c r="W19" s="22">
        <f>IFERROR(W18/W16,0)</f>
        <v>0.2</v>
      </c>
      <c r="X19" s="22">
        <f>IFERROR(X18/X16,0)</f>
        <v>0.2</v>
      </c>
      <c r="Y19" s="22">
        <f>IFERROR(Y18/Y16,0)</f>
        <v>0.2</v>
      </c>
      <c r="Z19" s="22">
        <f>IFERROR(Z18/Z16,0)</f>
        <v>0.2</v>
      </c>
      <c r="AA19" s="22">
        <f>IFERROR(AA18/AA16,0)</f>
        <v>0.2</v>
      </c>
      <c r="AB19" s="22">
        <f>IFERROR(AB18/AB16,0)</f>
        <v>0.2</v>
      </c>
      <c r="AC19" s="22">
        <f>IFERROR(AC18/AC16,0)</f>
        <v>0.2</v>
      </c>
      <c r="AD19" s="22">
        <f>IFERROR(AD18/AD16,0)</f>
        <v>0.2</v>
      </c>
      <c r="AE19" s="22">
        <f>IFERROR(AE18/AE16,0)</f>
        <v>0.2</v>
      </c>
      <c r="AF19" s="22">
        <f>IFERROR(AF18/AF16,0)</f>
        <v>0.2</v>
      </c>
      <c r="AG19" s="22">
        <f>IFERROR(AG18/AG16,0)</f>
        <v>0.2</v>
      </c>
      <c r="AH19" s="22">
        <f>IFERROR(AH18/AH16,0)</f>
        <v>0.2</v>
      </c>
      <c r="AI19" s="22">
        <f>IFERROR(AI18/AI16,0)</f>
        <v>0.2</v>
      </c>
      <c r="AJ19" s="22">
        <f>IFERROR(AJ18/AJ16,0)</f>
        <v>0.2</v>
      </c>
      <c r="AK19" s="22">
        <f>IFERROR(AK18/AK16,0)</f>
        <v>0.2</v>
      </c>
      <c r="AL19" s="22">
        <f>IFERROR(AL18/AL16,0)</f>
        <v>0.2</v>
      </c>
      <c r="AM19" s="22">
        <f>IFERROR(AM18/AM16,0)</f>
        <v>0.2</v>
      </c>
      <c r="AN19" s="22">
        <f>IFERROR(AN18/AN16,0)</f>
        <v>0.2</v>
      </c>
      <c r="AO19" s="22">
        <f>IFERROR(AO18/AO16,0)</f>
        <v>0.2</v>
      </c>
      <c r="AP19" s="22">
        <f>IFERROR(AP18/AP16,0)</f>
        <v>0.2</v>
      </c>
      <c r="AQ19" s="22">
        <f>IFERROR(AQ18/AQ16,0)</f>
        <v>0.2</v>
      </c>
      <c r="AR19" s="22">
        <f>IFERROR(AR18/AR16,0)</f>
        <v>0.2</v>
      </c>
      <c r="AS19" s="22">
        <f>IFERROR(AS18/AS16,0)</f>
        <v>0.2</v>
      </c>
      <c r="AT19" s="22">
        <f>IFERROR(AT18/AT16,0)</f>
        <v>0.2</v>
      </c>
      <c r="AU19" s="22">
        <f>IFERROR(AU18/AU16,0)</f>
        <v>0.2</v>
      </c>
    </row>
    <row r="20" spans="1:48">
      <c r="A20" s="5" t="s">
        <v>223</v>
      </c>
      <c r="B20" s="12" t="s">
        <v>49</v>
      </c>
      <c r="C20" s="14" t="s">
        <v>224</v>
      </c>
      <c r="D20" s="21">
        <f>D11*'Inputs'!$F$12</f>
        <v>1152.0</v>
      </c>
      <c r="E20" s="21">
        <f>E11*'Inputs'!$F$12</f>
        <v>1152.0</v>
      </c>
      <c r="F20" s="21">
        <f>F11*'Inputs'!$F$12</f>
        <v>1152.0</v>
      </c>
      <c r="G20" s="21">
        <f>G11*'Inputs'!$F$12</f>
        <v>1152.0</v>
      </c>
      <c r="H20" s="21">
        <f>H11*'Inputs'!$F$12</f>
        <v>1152.0</v>
      </c>
      <c r="I20" s="21">
        <f>I11*'Inputs'!$F$12</f>
        <v>1152.0</v>
      </c>
      <c r="J20" s="21">
        <f>J11*'Inputs'!$F$12</f>
        <v>1152.0</v>
      </c>
      <c r="K20" s="21">
        <f>K11*'Inputs'!$F$12</f>
        <v>1152.0</v>
      </c>
      <c r="L20" s="21">
        <f>L11*'Inputs'!$F$12</f>
        <v>1152.0</v>
      </c>
      <c r="M20" s="21">
        <f>M11*'Inputs'!$F$12</f>
        <v>1152.0</v>
      </c>
      <c r="N20" s="21">
        <f>N11*'Inputs'!$F$12</f>
        <v>1152.0</v>
      </c>
      <c r="O20" s="21">
        <f>O11*'Inputs'!$F$12</f>
        <v>1152.0</v>
      </c>
      <c r="P20" s="21">
        <f>P11*'Inputs'!$F$12</f>
        <v>1152.0</v>
      </c>
      <c r="Q20" s="21">
        <f>Q11*'Inputs'!$F$12</f>
        <v>1152.0</v>
      </c>
      <c r="R20" s="21">
        <f>R11*'Inputs'!$F$12</f>
        <v>1152.0</v>
      </c>
      <c r="S20" s="21">
        <f>S11*'Inputs'!$F$12</f>
        <v>1152.0</v>
      </c>
      <c r="T20" s="21">
        <f>T11*'Inputs'!$F$12</f>
        <v>1152.0</v>
      </c>
      <c r="U20" s="21">
        <f>U11*'Inputs'!$F$12</f>
        <v>1152.0</v>
      </c>
      <c r="V20" s="21">
        <f>V11*'Inputs'!$F$12</f>
        <v>1152.0</v>
      </c>
      <c r="W20" s="21">
        <f>W11*'Inputs'!$F$12</f>
        <v>1152.0</v>
      </c>
      <c r="X20" s="21">
        <f>X11*'Inputs'!$F$12</f>
        <v>1152.0</v>
      </c>
      <c r="Y20" s="21">
        <f>Y11*'Inputs'!$F$12</f>
        <v>1152.0</v>
      </c>
      <c r="Z20" s="21">
        <f>Z11*'Inputs'!$F$12</f>
        <v>1152.0</v>
      </c>
      <c r="AA20" s="21">
        <f>AA11*'Inputs'!$F$12</f>
        <v>1152.0</v>
      </c>
      <c r="AB20" s="21">
        <f>AB11*'Inputs'!$F$12</f>
        <v>1152.0</v>
      </c>
      <c r="AC20" s="21">
        <f>AC11*'Inputs'!$F$12</f>
        <v>1152.0</v>
      </c>
      <c r="AD20" s="21">
        <f>AD11*'Inputs'!$F$12</f>
        <v>1152.0</v>
      </c>
      <c r="AE20" s="21">
        <f>AE11*'Inputs'!$F$12</f>
        <v>1152.0</v>
      </c>
      <c r="AF20" s="21">
        <f>AF11*'Inputs'!$F$12</f>
        <v>1152.0</v>
      </c>
      <c r="AG20" s="21">
        <f>AG11*'Inputs'!$F$12</f>
        <v>1152.0</v>
      </c>
      <c r="AH20" s="21">
        <f>AH11*'Inputs'!$F$12</f>
        <v>1152.0</v>
      </c>
      <c r="AI20" s="21">
        <f>AI11*'Inputs'!$F$12</f>
        <v>1152.0</v>
      </c>
      <c r="AJ20" s="21">
        <f>AJ11*'Inputs'!$F$12</f>
        <v>1152.0</v>
      </c>
      <c r="AK20" s="21">
        <f>AK11*'Inputs'!$F$12</f>
        <v>1152.0</v>
      </c>
      <c r="AL20" s="21">
        <f>AL11*'Inputs'!$F$12</f>
        <v>1152.0</v>
      </c>
      <c r="AM20" s="21">
        <f>AM11*'Inputs'!$F$12</f>
        <v>1152.0</v>
      </c>
      <c r="AN20" s="21">
        <f>AN11*'Inputs'!$F$12</f>
        <v>1152.0</v>
      </c>
      <c r="AO20" s="21">
        <f>AO11*'Inputs'!$F$12</f>
        <v>1152.0</v>
      </c>
      <c r="AP20" s="21">
        <f>AP11*'Inputs'!$F$12</f>
        <v>1152.0</v>
      </c>
      <c r="AQ20" s="21">
        <f>AQ11*'Inputs'!$F$12</f>
        <v>1152.0</v>
      </c>
      <c r="AR20" s="21">
        <f>AR11*'Inputs'!$F$12</f>
        <v>1152.0</v>
      </c>
      <c r="AS20" s="21">
        <f>AS11*'Inputs'!$F$12</f>
        <v>1152.0</v>
      </c>
      <c r="AT20" s="21">
        <f>AT11*'Inputs'!$F$12</f>
        <v>1152.0</v>
      </c>
      <c r="AU20" s="21">
        <f>AU11*'Inputs'!$F$12</f>
        <v>1152.0</v>
      </c>
    </row>
    <row r="21" spans="1:48">
      <c r="A21" s="5" t="s">
        <v>125</v>
      </c>
      <c r="B21" s="12" t="s">
        <v>49</v>
      </c>
      <c r="C21" s="14" t="s">
        <v>225</v>
      </c>
      <c r="D21" s="21">
        <f>D16*'Inputs'!$F$37</f>
        <v>388.6884</v>
      </c>
      <c r="E21" s="21">
        <f>E16*'Inputs'!$F$37</f>
        <v>392.732168</v>
      </c>
      <c r="F21" s="21">
        <f>F16*'Inputs'!$F$37</f>
        <v>396.87991136</v>
      </c>
      <c r="G21" s="21">
        <f>G16*'Inputs'!$F$37</f>
        <v>401.13440258720004</v>
      </c>
      <c r="H21" s="21">
        <f>H16*'Inputs'!$F$37</f>
        <v>405.498490428944</v>
      </c>
      <c r="I21" s="21">
        <f>I16*'Inputs'!$F$37</f>
        <v>601.9004829804616</v>
      </c>
      <c r="J21" s="21">
        <f>J16*'Inputs'!$F$37</f>
        <v>686.4502892160958</v>
      </c>
      <c r="K21" s="21">
        <f>K16*'Inputs'!$F$37</f>
        <v>769.6639702608737</v>
      </c>
      <c r="L21" s="21">
        <f>L16*'Inputs'!$F$37</f>
        <v>993.7110035590738</v>
      </c>
      <c r="M21" s="21">
        <f>M16*'Inputs'!$F$37</f>
        <v>1065.4068197780612</v>
      </c>
      <c r="N21" s="21">
        <f>N16*'Inputs'!$F$37</f>
        <v>1136.111111111111</v>
      </c>
      <c r="O21" s="21">
        <f>O16*'Inputs'!$F$37</f>
        <v>1136.111111111111</v>
      </c>
      <c r="P21" s="21">
        <f>P16*'Inputs'!$F$37</f>
        <v>1136.111111111111</v>
      </c>
      <c r="Q21" s="21">
        <f>Q16*'Inputs'!$F$37</f>
        <v>1136.111111111111</v>
      </c>
      <c r="R21" s="21">
        <f>R16*'Inputs'!$F$37</f>
        <v>1136.111111111111</v>
      </c>
      <c r="S21" s="21">
        <f>S16*'Inputs'!$F$37</f>
        <v>1261.2222222222222</v>
      </c>
      <c r="T21" s="21">
        <f>T16*'Inputs'!$F$37</f>
        <v>1261.2222222222222</v>
      </c>
      <c r="U21" s="21">
        <f>U16*'Inputs'!$F$37</f>
        <v>1261.2222222222222</v>
      </c>
      <c r="V21" s="21">
        <f>V16*'Inputs'!$F$37</f>
        <v>1261.2222222222222</v>
      </c>
      <c r="W21" s="21">
        <f>W16*'Inputs'!$F$37</f>
        <v>1261.2222222222222</v>
      </c>
      <c r="X21" s="21">
        <f>X16*'Inputs'!$F$37</f>
        <v>1261.2222222222222</v>
      </c>
      <c r="Y21" s="21">
        <f>Y16*'Inputs'!$F$37</f>
        <v>1261.2222222222222</v>
      </c>
      <c r="Z21" s="21">
        <f>Z16*'Inputs'!$F$37</f>
        <v>1261.2222222222222</v>
      </c>
      <c r="AA21" s="21">
        <f>AA16*'Inputs'!$F$37</f>
        <v>1261.2222222222222</v>
      </c>
      <c r="AB21" s="21">
        <f>AB16*'Inputs'!$F$37</f>
        <v>1261.2222222222222</v>
      </c>
      <c r="AC21" s="21">
        <f>AC16*'Inputs'!$F$37</f>
        <v>1261.2222222222222</v>
      </c>
      <c r="AD21" s="21">
        <f>AD16*'Inputs'!$F$37</f>
        <v>1261.2222222222222</v>
      </c>
      <c r="AE21" s="21">
        <f>AE16*'Inputs'!$F$37</f>
        <v>1261.2222222222222</v>
      </c>
      <c r="AF21" s="21">
        <f>AF16*'Inputs'!$F$37</f>
        <v>1261.2222222222222</v>
      </c>
      <c r="AG21" s="21">
        <f>AG16*'Inputs'!$F$37</f>
        <v>1261.2222222222222</v>
      </c>
      <c r="AH21" s="21">
        <f>AH16*'Inputs'!$F$37</f>
        <v>1261.2222222222222</v>
      </c>
      <c r="AI21" s="21">
        <f>AI16*'Inputs'!$F$37</f>
        <v>1261.2222222222222</v>
      </c>
      <c r="AJ21" s="21">
        <f>AJ16*'Inputs'!$F$37</f>
        <v>1261.2222222222222</v>
      </c>
      <c r="AK21" s="21">
        <f>AK16*'Inputs'!$F$37</f>
        <v>1261.2222222222222</v>
      </c>
      <c r="AL21" s="21">
        <f>AL16*'Inputs'!$F$37</f>
        <v>1261.2222222222222</v>
      </c>
      <c r="AM21" s="21">
        <f>AM16*'Inputs'!$F$37</f>
        <v>1261.2222222222222</v>
      </c>
      <c r="AN21" s="21">
        <f>AN16*'Inputs'!$F$37</f>
        <v>1261.2222222222224</v>
      </c>
      <c r="AO21" s="21">
        <f>AO16*'Inputs'!$F$37</f>
        <v>1261.2222222222222</v>
      </c>
      <c r="AP21" s="21">
        <f>AP16*'Inputs'!$F$37</f>
        <v>1261.2222222222222</v>
      </c>
      <c r="AQ21" s="21">
        <f>AQ16*'Inputs'!$F$37</f>
        <v>1261.2222222222222</v>
      </c>
      <c r="AR21" s="21">
        <f>AR16*'Inputs'!$F$37</f>
        <v>1261.2222222222222</v>
      </c>
      <c r="AS21" s="21">
        <f>AS16*'Inputs'!$F$37</f>
        <v>1261.2222222222222</v>
      </c>
      <c r="AT21" s="21">
        <f>AT16*'Inputs'!$F$37</f>
        <v>1261.2222222222222</v>
      </c>
      <c r="AU21" s="21">
        <f>AU16*'Inputs'!$F$37</f>
        <v>1261.2222222222222</v>
      </c>
    </row>
    <row r="22" spans="1:48">
      <c r="A22" s="5" t="s">
        <v>226</v>
      </c>
      <c r="B22" s="12" t="s">
        <v>49</v>
      </c>
      <c r="C22" s="14" t="s">
        <v>227</v>
      </c>
      <c r="D22" s="21">
        <f>D15*(IF(D$5&lt;'Inputs'!$F$23,'Inputs'!$F$28,IF(D$5&lt;EDATE('Inputs'!$F$23,6),'Inputs'!$F$29,'Inputs'!$F$30)))</f>
        <v>3128.442</v>
      </c>
      <c r="E22" s="21">
        <f>E15*(IF(E$5&lt;'Inputs'!$F$23,'Inputs'!$F$28,IF(E$5&lt;EDATE('Inputs'!$F$23,6),'Inputs'!$F$29,'Inputs'!$F$30)))</f>
        <v>3148.6608400000005</v>
      </c>
      <c r="F22" s="21">
        <f>F15*(IF(F$5&lt;'Inputs'!$F$23,'Inputs'!$F$28,IF(F$5&lt;EDATE('Inputs'!$F$23,6),'Inputs'!$F$29,'Inputs'!$F$30)))</f>
        <v>3169.3995568</v>
      </c>
      <c r="G22" s="21">
        <f>G15*(IF(G$5&lt;'Inputs'!$F$23,'Inputs'!$F$28,IF(G$5&lt;EDATE('Inputs'!$F$23,6),'Inputs'!$F$29,'Inputs'!$F$30)))</f>
        <v>3190.672012936</v>
      </c>
      <c r="H22" s="21">
        <f>H15*(IF(H$5&lt;'Inputs'!$F$23,'Inputs'!$F$28,IF(H$5&lt;EDATE('Inputs'!$F$23,6),'Inputs'!$F$29,'Inputs'!$F$30)))</f>
        <v>3212.49245214472</v>
      </c>
      <c r="I22" s="21">
        <f>I15*(IF(I$5&lt;'Inputs'!$F$23,'Inputs'!$F$28,IF(I$5&lt;EDATE('Inputs'!$F$23,6),'Inputs'!$F$29,'Inputs'!$F$30)))</f>
        <v>5872.303380863231</v>
      </c>
      <c r="J22" s="21">
        <f>J15*(IF(J$5&lt;'Inputs'!$F$23,'Inputs'!$F$28,IF(J$5&lt;EDATE('Inputs'!$F$23,6),'Inputs'!$F$29,'Inputs'!$F$30)))</f>
        <v>6464.152024512671</v>
      </c>
      <c r="K22" s="21">
        <f>K15*(IF(K$5&lt;'Inputs'!$F$23,'Inputs'!$F$28,IF(K$5&lt;EDATE('Inputs'!$F$23,6),'Inputs'!$F$29,'Inputs'!$F$30)))</f>
        <v>7046.647791826117</v>
      </c>
      <c r="L22" s="21">
        <f>L15*(IF(L$5&lt;'Inputs'!$F$23,'Inputs'!$F$28,IF(L$5&lt;EDATE('Inputs'!$F$23,6),'Inputs'!$F$29,'Inputs'!$F$30)))</f>
        <v>8614.977024913516</v>
      </c>
      <c r="M22" s="21">
        <f>M15*(IF(M$5&lt;'Inputs'!$F$23,'Inputs'!$F$28,IF(M$5&lt;EDATE('Inputs'!$F$23,6),'Inputs'!$F$29,'Inputs'!$F$30)))</f>
        <v>9116.847738446428</v>
      </c>
      <c r="N22" s="21">
        <f>N15*(IF(N$5&lt;'Inputs'!$F$23,'Inputs'!$F$28,IF(N$5&lt;EDATE('Inputs'!$F$23,6),'Inputs'!$F$29,'Inputs'!$F$30)))</f>
        <v>9611.777777777777</v>
      </c>
      <c r="O22" s="21">
        <f>O15*(IF(O$5&lt;'Inputs'!$F$23,'Inputs'!$F$28,IF(O$5&lt;EDATE('Inputs'!$F$23,6),'Inputs'!$F$29,'Inputs'!$F$30)))</f>
        <v>7552.111111111112</v>
      </c>
      <c r="P22" s="21">
        <f>P15*(IF(P$5&lt;'Inputs'!$F$23,'Inputs'!$F$28,IF(P$5&lt;EDATE('Inputs'!$F$23,6),'Inputs'!$F$29,'Inputs'!$F$30)))</f>
        <v>7552.11111111111</v>
      </c>
      <c r="Q22" s="21">
        <f>Q15*(IF(Q$5&lt;'Inputs'!$F$23,'Inputs'!$F$28,IF(Q$5&lt;EDATE('Inputs'!$F$23,6),'Inputs'!$F$29,'Inputs'!$F$30)))</f>
        <v>7552.111111111112</v>
      </c>
      <c r="R22" s="21">
        <f>R15*(IF(R$5&lt;'Inputs'!$F$23,'Inputs'!$F$28,IF(R$5&lt;EDATE('Inputs'!$F$23,6),'Inputs'!$F$29,'Inputs'!$F$30)))</f>
        <v>7552.111111111112</v>
      </c>
      <c r="S22" s="21">
        <f>S15*(IF(S$5&lt;'Inputs'!$F$23,'Inputs'!$F$28,IF(S$5&lt;EDATE('Inputs'!$F$23,6),'Inputs'!$F$29,'Inputs'!$F$30)))</f>
        <v>8240.222222222223</v>
      </c>
      <c r="T22" s="21">
        <f>T15*(IF(T$5&lt;'Inputs'!$F$23,'Inputs'!$F$28,IF(T$5&lt;EDATE('Inputs'!$F$23,6),'Inputs'!$F$29,'Inputs'!$F$30)))</f>
        <v>8240.222222222223</v>
      </c>
      <c r="U22" s="21">
        <f>U15*(IF(U$5&lt;'Inputs'!$F$23,'Inputs'!$F$28,IF(U$5&lt;EDATE('Inputs'!$F$23,6),'Inputs'!$F$29,'Inputs'!$F$30)))</f>
        <v>8240.222222222223</v>
      </c>
      <c r="V22" s="21">
        <f>V15*(IF(V$5&lt;'Inputs'!$F$23,'Inputs'!$F$28,IF(V$5&lt;EDATE('Inputs'!$F$23,6),'Inputs'!$F$29,'Inputs'!$F$30)))</f>
        <v>8240.222222222223</v>
      </c>
      <c r="W22" s="21">
        <f>W15*(IF(W$5&lt;'Inputs'!$F$23,'Inputs'!$F$28,IF(W$5&lt;EDATE('Inputs'!$F$23,6),'Inputs'!$F$29,'Inputs'!$F$30)))</f>
        <v>8240.222222222223</v>
      </c>
      <c r="X22" s="21">
        <f>X15*(IF(X$5&lt;'Inputs'!$F$23,'Inputs'!$F$28,IF(X$5&lt;EDATE('Inputs'!$F$23,6),'Inputs'!$F$29,'Inputs'!$F$30)))</f>
        <v>8240.222222222223</v>
      </c>
      <c r="Y22" s="21">
        <f>Y15*(IF(Y$5&lt;'Inputs'!$F$23,'Inputs'!$F$28,IF(Y$5&lt;EDATE('Inputs'!$F$23,6),'Inputs'!$F$29,'Inputs'!$F$30)))</f>
        <v>8240.222222222223</v>
      </c>
      <c r="Z22" s="21">
        <f>Z15*(IF(Z$5&lt;'Inputs'!$F$23,'Inputs'!$F$28,IF(Z$5&lt;EDATE('Inputs'!$F$23,6),'Inputs'!$F$29,'Inputs'!$F$30)))</f>
        <v>8240.222222222223</v>
      </c>
      <c r="AA22" s="21">
        <f>AA15*(IF(AA$5&lt;'Inputs'!$F$23,'Inputs'!$F$28,IF(AA$5&lt;EDATE('Inputs'!$F$23,6),'Inputs'!$F$29,'Inputs'!$F$30)))</f>
        <v>8240.222222222223</v>
      </c>
      <c r="AB22" s="21">
        <f>AB15*(IF(AB$5&lt;'Inputs'!$F$23,'Inputs'!$F$28,IF(AB$5&lt;EDATE('Inputs'!$F$23,6),'Inputs'!$F$29,'Inputs'!$F$30)))</f>
        <v>8240.222222222223</v>
      </c>
      <c r="AC22" s="21">
        <f>AC15*(IF(AC$5&lt;'Inputs'!$F$23,'Inputs'!$F$28,IF(AC$5&lt;EDATE('Inputs'!$F$23,6),'Inputs'!$F$29,'Inputs'!$F$30)))</f>
        <v>8240.222222222223</v>
      </c>
      <c r="AD22" s="21">
        <f>AD15*(IF(AD$5&lt;'Inputs'!$F$23,'Inputs'!$F$28,IF(AD$5&lt;EDATE('Inputs'!$F$23,6),'Inputs'!$F$29,'Inputs'!$F$30)))</f>
        <v>8240.222222222223</v>
      </c>
      <c r="AE22" s="21">
        <f>AE15*(IF(AE$5&lt;'Inputs'!$F$23,'Inputs'!$F$28,IF(AE$5&lt;EDATE('Inputs'!$F$23,6),'Inputs'!$F$29,'Inputs'!$F$30)))</f>
        <v>8240.222222222223</v>
      </c>
      <c r="AF22" s="21">
        <f>AF15*(IF(AF$5&lt;'Inputs'!$F$23,'Inputs'!$F$28,IF(AF$5&lt;EDATE('Inputs'!$F$23,6),'Inputs'!$F$29,'Inputs'!$F$30)))</f>
        <v>8240.222222222223</v>
      </c>
      <c r="AG22" s="21">
        <f>AG15*(IF(AG$5&lt;'Inputs'!$F$23,'Inputs'!$F$28,IF(AG$5&lt;EDATE('Inputs'!$F$23,6),'Inputs'!$F$29,'Inputs'!$F$30)))</f>
        <v>8240.222222222223</v>
      </c>
      <c r="AH22" s="21">
        <f>AH15*(IF(AH$5&lt;'Inputs'!$F$23,'Inputs'!$F$28,IF(AH$5&lt;EDATE('Inputs'!$F$23,6),'Inputs'!$F$29,'Inputs'!$F$30)))</f>
        <v>8240.222222222223</v>
      </c>
      <c r="AI22" s="21">
        <f>AI15*(IF(AI$5&lt;'Inputs'!$F$23,'Inputs'!$F$28,IF(AI$5&lt;EDATE('Inputs'!$F$23,6),'Inputs'!$F$29,'Inputs'!$F$30)))</f>
        <v>8240.222222222223</v>
      </c>
      <c r="AJ22" s="21">
        <f>AJ15*(IF(AJ$5&lt;'Inputs'!$F$23,'Inputs'!$F$28,IF(AJ$5&lt;EDATE('Inputs'!$F$23,6),'Inputs'!$F$29,'Inputs'!$F$30)))</f>
        <v>8240.222222222223</v>
      </c>
      <c r="AK22" s="21">
        <f>AK15*(IF(AK$5&lt;'Inputs'!$F$23,'Inputs'!$F$28,IF(AK$5&lt;EDATE('Inputs'!$F$23,6),'Inputs'!$F$29,'Inputs'!$F$30)))</f>
        <v>8240.222222222223</v>
      </c>
      <c r="AL22" s="21">
        <f>AL15*(IF(AL$5&lt;'Inputs'!$F$23,'Inputs'!$F$28,IF(AL$5&lt;EDATE('Inputs'!$F$23,6),'Inputs'!$F$29,'Inputs'!$F$30)))</f>
        <v>8240.222222222223</v>
      </c>
      <c r="AM22" s="21">
        <f>AM15*(IF(AM$5&lt;'Inputs'!$F$23,'Inputs'!$F$28,IF(AM$5&lt;EDATE('Inputs'!$F$23,6),'Inputs'!$F$29,'Inputs'!$F$30)))</f>
        <v>8240.222222222223</v>
      </c>
      <c r="AN22" s="21">
        <f>AN15*(IF(AN$5&lt;'Inputs'!$F$23,'Inputs'!$F$28,IF(AN$5&lt;EDATE('Inputs'!$F$23,6),'Inputs'!$F$29,'Inputs'!$F$30)))</f>
        <v>8240.222222222224</v>
      </c>
      <c r="AO22" s="21">
        <f>AO15*(IF(AO$5&lt;'Inputs'!$F$23,'Inputs'!$F$28,IF(AO$5&lt;EDATE('Inputs'!$F$23,6),'Inputs'!$F$29,'Inputs'!$F$30)))</f>
        <v>8240.222222222223</v>
      </c>
      <c r="AP22" s="21">
        <f>AP15*(IF(AP$5&lt;'Inputs'!$F$23,'Inputs'!$F$28,IF(AP$5&lt;EDATE('Inputs'!$F$23,6),'Inputs'!$F$29,'Inputs'!$F$30)))</f>
        <v>8240.222222222223</v>
      </c>
      <c r="AQ22" s="21">
        <f>AQ15*(IF(AQ$5&lt;'Inputs'!$F$23,'Inputs'!$F$28,IF(AQ$5&lt;EDATE('Inputs'!$F$23,6),'Inputs'!$F$29,'Inputs'!$F$30)))</f>
        <v>8240.222222222223</v>
      </c>
      <c r="AR22" s="21">
        <f>AR15*(IF(AR$5&lt;'Inputs'!$F$23,'Inputs'!$F$28,IF(AR$5&lt;EDATE('Inputs'!$F$23,6),'Inputs'!$F$29,'Inputs'!$F$30)))</f>
        <v>8240.222222222223</v>
      </c>
      <c r="AS22" s="21">
        <f>AS15*(IF(AS$5&lt;'Inputs'!$F$23,'Inputs'!$F$28,IF(AS$5&lt;EDATE('Inputs'!$F$23,6),'Inputs'!$F$29,'Inputs'!$F$30)))</f>
        <v>8240.222222222223</v>
      </c>
      <c r="AT22" s="21">
        <f>AT15*(IF(AT$5&lt;'Inputs'!$F$23,'Inputs'!$F$28,IF(AT$5&lt;EDATE('Inputs'!$F$23,6),'Inputs'!$F$29,'Inputs'!$F$30)))</f>
        <v>8240.222222222223</v>
      </c>
      <c r="AU22" s="21">
        <f>AU15*(IF(AU$5&lt;'Inputs'!$F$23,'Inputs'!$F$28,IF(AU$5&lt;EDATE('Inputs'!$F$23,6),'Inputs'!$F$29,'Inputs'!$F$30)))</f>
        <v>8240.222222222223</v>
      </c>
    </row>
    <row r="23" spans="1:48">
      <c r="A23" s="5" t="s">
        <v>114</v>
      </c>
      <c r="B23" s="12" t="s">
        <v>49</v>
      </c>
      <c r="C23" s="14" t="s">
        <v>228</v>
      </c>
      <c r="D23" s="21">
        <f>'Inputs'!$F$32</f>
        <v>7500.0</v>
      </c>
      <c r="E23" s="21">
        <f>'Inputs'!$F$32</f>
        <v>7500.0</v>
      </c>
      <c r="F23" s="21">
        <f>'Inputs'!$F$32</f>
        <v>7500.0</v>
      </c>
      <c r="G23" s="21">
        <f>'Inputs'!$F$32</f>
        <v>7500.0</v>
      </c>
      <c r="H23" s="21">
        <f>'Inputs'!$F$32</f>
        <v>7500.0</v>
      </c>
      <c r="I23" s="21">
        <f>'Inputs'!$F$32</f>
        <v>7500.0</v>
      </c>
      <c r="J23" s="21">
        <f>'Inputs'!$F$32</f>
        <v>7500.0</v>
      </c>
      <c r="K23" s="21">
        <f>'Inputs'!$F$32</f>
        <v>7500.0</v>
      </c>
      <c r="L23" s="21">
        <f>'Inputs'!$F$32</f>
        <v>7500.0</v>
      </c>
      <c r="M23" s="21">
        <f>'Inputs'!$F$32</f>
        <v>7500.0</v>
      </c>
      <c r="N23" s="21">
        <f>'Inputs'!$F$32</f>
        <v>7500.0</v>
      </c>
      <c r="O23" s="21">
        <f>'Inputs'!$F$32</f>
        <v>7500.0</v>
      </c>
      <c r="P23" s="21">
        <f>'Inputs'!$F$32</f>
        <v>7500.0</v>
      </c>
      <c r="Q23" s="21">
        <f>'Inputs'!$F$32</f>
        <v>7500.0</v>
      </c>
      <c r="R23" s="21">
        <f>'Inputs'!$F$32</f>
        <v>7500.0</v>
      </c>
      <c r="S23" s="21">
        <f>'Inputs'!$F$32</f>
        <v>7500.0</v>
      </c>
      <c r="T23" s="21">
        <f>'Inputs'!$F$32</f>
        <v>7500.0</v>
      </c>
      <c r="U23" s="21">
        <f>'Inputs'!$F$32</f>
        <v>7500.0</v>
      </c>
      <c r="V23" s="21">
        <f>'Inputs'!$F$32</f>
        <v>7500.0</v>
      </c>
      <c r="W23" s="21">
        <f>'Inputs'!$F$32</f>
        <v>7500.0</v>
      </c>
      <c r="X23" s="21">
        <f>'Inputs'!$F$32</f>
        <v>7500.0</v>
      </c>
      <c r="Y23" s="21">
        <f>'Inputs'!$F$32</f>
        <v>7500.0</v>
      </c>
      <c r="Z23" s="21">
        <f>'Inputs'!$F$32</f>
        <v>7500.0</v>
      </c>
      <c r="AA23" s="21">
        <f>'Inputs'!$F$32</f>
        <v>7500.0</v>
      </c>
      <c r="AB23" s="21">
        <f>'Inputs'!$F$32</f>
        <v>7500.0</v>
      </c>
      <c r="AC23" s="21">
        <f>'Inputs'!$F$32</f>
        <v>7500.0</v>
      </c>
      <c r="AD23" s="21">
        <f>'Inputs'!$F$32</f>
        <v>7500.0</v>
      </c>
      <c r="AE23" s="21">
        <f>'Inputs'!$F$32</f>
        <v>7500.0</v>
      </c>
      <c r="AF23" s="21">
        <f>'Inputs'!$F$32</f>
        <v>7500.0</v>
      </c>
      <c r="AG23" s="21">
        <f>'Inputs'!$F$32</f>
        <v>7500.0</v>
      </c>
      <c r="AH23" s="21">
        <f>'Inputs'!$F$32</f>
        <v>7500.0</v>
      </c>
      <c r="AI23" s="21">
        <f>'Inputs'!$F$32</f>
        <v>7500.0</v>
      </c>
      <c r="AJ23" s="21">
        <f>'Inputs'!$F$32</f>
        <v>7500.0</v>
      </c>
      <c r="AK23" s="21">
        <f>'Inputs'!$F$32</f>
        <v>7500.0</v>
      </c>
      <c r="AL23" s="21">
        <f>'Inputs'!$F$32</f>
        <v>7500.0</v>
      </c>
      <c r="AM23" s="21">
        <f>'Inputs'!$F$32</f>
        <v>7500.0</v>
      </c>
      <c r="AN23" s="21">
        <f>'Inputs'!$F$32</f>
        <v>7500.0</v>
      </c>
      <c r="AO23" s="21">
        <f>'Inputs'!$F$32</f>
        <v>7500.0</v>
      </c>
      <c r="AP23" s="21">
        <f>'Inputs'!$F$32</f>
        <v>7500.0</v>
      </c>
      <c r="AQ23" s="21">
        <f>'Inputs'!$F$32</f>
        <v>7500.0</v>
      </c>
      <c r="AR23" s="21">
        <f>'Inputs'!$F$32</f>
        <v>7500.0</v>
      </c>
      <c r="AS23" s="21">
        <f>'Inputs'!$F$32</f>
        <v>7500.0</v>
      </c>
      <c r="AT23" s="21">
        <f>'Inputs'!$F$32</f>
        <v>7500.0</v>
      </c>
      <c r="AU23" s="21">
        <f>'Inputs'!$F$32</f>
        <v>7500.0</v>
      </c>
    </row>
    <row r="24" spans="1:48">
      <c r="A24" s="5" t="s">
        <v>111</v>
      </c>
      <c r="B24" s="12" t="s">
        <v>49</v>
      </c>
      <c r="C24" s="14" t="s">
        <v>229</v>
      </c>
      <c r="D24" s="21">
        <f>D22*'Inputs'!$F$31</f>
        <v>250.27536</v>
      </c>
      <c r="E24" s="21">
        <f>E22*'Inputs'!$F$31</f>
        <v>251.89286720000004</v>
      </c>
      <c r="F24" s="21">
        <f>F22*'Inputs'!$F$31</f>
        <v>253.55196454400001</v>
      </c>
      <c r="G24" s="21">
        <f>G22*'Inputs'!$F$31</f>
        <v>255.25376103488</v>
      </c>
      <c r="H24" s="21">
        <f>H22*'Inputs'!$F$31</f>
        <v>256.9993961715776</v>
      </c>
      <c r="I24" s="21">
        <f>I22*'Inputs'!$F$31</f>
        <v>469.78427046905847</v>
      </c>
      <c r="J24" s="21">
        <f>J22*'Inputs'!$F$31</f>
        <v>517.1321619610137</v>
      </c>
      <c r="K24" s="21">
        <f>K22*'Inputs'!$F$31</f>
        <v>563.7318233460894</v>
      </c>
      <c r="L24" s="21">
        <f>L22*'Inputs'!$F$31</f>
        <v>689.1981619930813</v>
      </c>
      <c r="M24" s="21">
        <f>M22*'Inputs'!$F$31</f>
        <v>729.3478190757143</v>
      </c>
      <c r="N24" s="21">
        <f>N22*'Inputs'!$F$31</f>
        <v>768.9422222222222</v>
      </c>
      <c r="O24" s="21">
        <f>O22*'Inputs'!$F$31</f>
        <v>604.168888888889</v>
      </c>
      <c r="P24" s="21">
        <f>P22*'Inputs'!$F$31</f>
        <v>604.1688888888889</v>
      </c>
      <c r="Q24" s="21">
        <f>Q22*'Inputs'!$F$31</f>
        <v>604.168888888889</v>
      </c>
      <c r="R24" s="21">
        <f>R22*'Inputs'!$F$31</f>
        <v>604.168888888889</v>
      </c>
      <c r="S24" s="21">
        <f>S22*'Inputs'!$F$31</f>
        <v>659.2177777777778</v>
      </c>
      <c r="T24" s="21">
        <f>T22*'Inputs'!$F$31</f>
        <v>659.2177777777778</v>
      </c>
      <c r="U24" s="21">
        <f>U22*'Inputs'!$F$31</f>
        <v>659.2177777777778</v>
      </c>
      <c r="V24" s="21">
        <f>V22*'Inputs'!$F$31</f>
        <v>659.2177777777778</v>
      </c>
      <c r="W24" s="21">
        <f>W22*'Inputs'!$F$31</f>
        <v>659.2177777777778</v>
      </c>
      <c r="X24" s="21">
        <f>X22*'Inputs'!$F$31</f>
        <v>659.2177777777778</v>
      </c>
      <c r="Y24" s="21">
        <f>Y22*'Inputs'!$F$31</f>
        <v>659.2177777777778</v>
      </c>
      <c r="Z24" s="21">
        <f>Z22*'Inputs'!$F$31</f>
        <v>659.2177777777778</v>
      </c>
      <c r="AA24" s="21">
        <f>AA22*'Inputs'!$F$31</f>
        <v>659.2177777777778</v>
      </c>
      <c r="AB24" s="21">
        <f>AB22*'Inputs'!$F$31</f>
        <v>659.2177777777778</v>
      </c>
      <c r="AC24" s="21">
        <f>AC22*'Inputs'!$F$31</f>
        <v>659.2177777777778</v>
      </c>
      <c r="AD24" s="21">
        <f>AD22*'Inputs'!$F$31</f>
        <v>659.2177777777778</v>
      </c>
      <c r="AE24" s="21">
        <f>AE22*'Inputs'!$F$31</f>
        <v>659.2177777777778</v>
      </c>
      <c r="AF24" s="21">
        <f>AF22*'Inputs'!$F$31</f>
        <v>659.2177777777778</v>
      </c>
      <c r="AG24" s="21">
        <f>AG22*'Inputs'!$F$31</f>
        <v>659.2177777777778</v>
      </c>
      <c r="AH24" s="21">
        <f>AH22*'Inputs'!$F$31</f>
        <v>659.2177777777778</v>
      </c>
      <c r="AI24" s="21">
        <f>AI22*'Inputs'!$F$31</f>
        <v>659.2177777777778</v>
      </c>
      <c r="AJ24" s="21">
        <f>AJ22*'Inputs'!$F$31</f>
        <v>659.2177777777778</v>
      </c>
      <c r="AK24" s="21">
        <f>AK22*'Inputs'!$F$31</f>
        <v>659.2177777777778</v>
      </c>
      <c r="AL24" s="21">
        <f>AL22*'Inputs'!$F$31</f>
        <v>659.2177777777778</v>
      </c>
      <c r="AM24" s="21">
        <f>AM22*'Inputs'!$F$31</f>
        <v>659.2177777777778</v>
      </c>
      <c r="AN24" s="21">
        <f>AN22*'Inputs'!$F$31</f>
        <v>659.217777777778</v>
      </c>
      <c r="AO24" s="21">
        <f>AO22*'Inputs'!$F$31</f>
        <v>659.2177777777778</v>
      </c>
      <c r="AP24" s="21">
        <f>AP22*'Inputs'!$F$31</f>
        <v>659.2177777777778</v>
      </c>
      <c r="AQ24" s="21">
        <f>AQ22*'Inputs'!$F$31</f>
        <v>659.2177777777778</v>
      </c>
      <c r="AR24" s="21">
        <f>AR22*'Inputs'!$F$31</f>
        <v>659.2177777777778</v>
      </c>
      <c r="AS24" s="21">
        <f>AS22*'Inputs'!$F$31</f>
        <v>659.2177777777778</v>
      </c>
      <c r="AT24" s="21">
        <f>AT22*'Inputs'!$F$31</f>
        <v>659.2177777777778</v>
      </c>
      <c r="AU24" s="21">
        <f>AU22*'Inputs'!$F$31</f>
        <v>659.2177777777778</v>
      </c>
    </row>
    <row r="25" spans="1:48">
      <c r="A25" s="19" t="s">
        <v>230</v>
      </c>
      <c r="B25" s="12" t="s">
        <v>49</v>
      </c>
      <c r="C25" s="14" t="s">
        <v>231</v>
      </c>
      <c r="D25" s="20">
        <f>SUM(D22,D23,D24)</f>
        <v>10878.717359999999</v>
      </c>
      <c r="E25" s="20">
        <f>SUM(E22,E23,E24)</f>
        <v>10900.5537072</v>
      </c>
      <c r="F25" s="20">
        <f>SUM(F22,F23,F24)</f>
        <v>10922.951521343999</v>
      </c>
      <c r="G25" s="20">
        <f>SUM(G22,G23,G24)</f>
        <v>10945.925773970881</v>
      </c>
      <c r="H25" s="20">
        <f>SUM(H22,H23,H24)</f>
        <v>10969.491848316298</v>
      </c>
      <c r="I25" s="20">
        <f>SUM(I22,I23,I24)</f>
        <v>13842.087651332291</v>
      </c>
      <c r="J25" s="20">
        <f>SUM(J22,J23,J24)</f>
        <v>14481.284186473684</v>
      </c>
      <c r="K25" s="20">
        <f>SUM(K22,K23,K24)</f>
        <v>15110.379615172207</v>
      </c>
      <c r="L25" s="20">
        <f>SUM(L22,L23,L24)</f>
        <v>16804.1751869066</v>
      </c>
      <c r="M25" s="20">
        <f>SUM(M22,M23,M24)</f>
        <v>17346.195557522144</v>
      </c>
      <c r="N25" s="20">
        <f>SUM(N22,N23,N24)</f>
        <v>17880.72</v>
      </c>
      <c r="O25" s="20">
        <f>SUM(O22,O23,O24)</f>
        <v>15656.280000000002</v>
      </c>
      <c r="P25" s="20">
        <f>SUM(P22,P23,P24)</f>
        <v>15656.279999999999</v>
      </c>
      <c r="Q25" s="20">
        <f>SUM(Q22,Q23,Q24)</f>
        <v>15656.280000000002</v>
      </c>
      <c r="R25" s="20">
        <f>SUM(R22,R23,R24)</f>
        <v>15656.280000000002</v>
      </c>
      <c r="S25" s="20">
        <f>SUM(S22,S23,S24)</f>
        <v>16399.44</v>
      </c>
      <c r="T25" s="20">
        <f>SUM(T22,T23,T24)</f>
        <v>16399.44</v>
      </c>
      <c r="U25" s="20">
        <f>SUM(U22,U23,U24)</f>
        <v>16399.44</v>
      </c>
      <c r="V25" s="20">
        <f>SUM(V22,V23,V24)</f>
        <v>16399.44</v>
      </c>
      <c r="W25" s="20">
        <f>SUM(W22,W23,W24)</f>
        <v>16399.44</v>
      </c>
      <c r="X25" s="20">
        <f>SUM(X22,X23,X24)</f>
        <v>16399.44</v>
      </c>
      <c r="Y25" s="20">
        <f>SUM(Y22,Y23,Y24)</f>
        <v>16399.44</v>
      </c>
      <c r="Z25" s="20">
        <f>SUM(Z22,Z23,Z24)</f>
        <v>16399.44</v>
      </c>
      <c r="AA25" s="20">
        <f>SUM(AA22,AA23,AA24)</f>
        <v>16399.44</v>
      </c>
      <c r="AB25" s="20">
        <f>SUM(AB22,AB23,AB24)</f>
        <v>16399.44</v>
      </c>
      <c r="AC25" s="20">
        <f>SUM(AC22,AC23,AC24)</f>
        <v>16399.44</v>
      </c>
      <c r="AD25" s="20">
        <f>SUM(AD22,AD23,AD24)</f>
        <v>16399.44</v>
      </c>
      <c r="AE25" s="20">
        <f>SUM(AE22,AE23,AE24)</f>
        <v>16399.44</v>
      </c>
      <c r="AF25" s="20">
        <f>SUM(AF22,AF23,AF24)</f>
        <v>16399.44</v>
      </c>
      <c r="AG25" s="20">
        <f>SUM(AG22,AG23,AG24)</f>
        <v>16399.44</v>
      </c>
      <c r="AH25" s="20">
        <f>SUM(AH22,AH23,AH24)</f>
        <v>16399.44</v>
      </c>
      <c r="AI25" s="20">
        <f>SUM(AI22,AI23,AI24)</f>
        <v>16399.44</v>
      </c>
      <c r="AJ25" s="20">
        <f>SUM(AJ22,AJ23,AJ24)</f>
        <v>16399.44</v>
      </c>
      <c r="AK25" s="20">
        <f>SUM(AK22,AK23,AK24)</f>
        <v>16399.44</v>
      </c>
      <c r="AL25" s="20">
        <f>SUM(AL22,AL23,AL24)</f>
        <v>16399.44</v>
      </c>
      <c r="AM25" s="20">
        <f>SUM(AM22,AM23,AM24)</f>
        <v>16399.44</v>
      </c>
      <c r="AN25" s="20">
        <f>SUM(AN22,AN23,AN24)</f>
        <v>16399.440000000002</v>
      </c>
      <c r="AO25" s="20">
        <f>SUM(AO22,AO23,AO24)</f>
        <v>16399.44</v>
      </c>
      <c r="AP25" s="20">
        <f>SUM(AP22,AP23,AP24)</f>
        <v>16399.44</v>
      </c>
      <c r="AQ25" s="20">
        <f>SUM(AQ22,AQ23,AQ24)</f>
        <v>16399.44</v>
      </c>
      <c r="AR25" s="20">
        <f>SUM(AR22,AR23,AR24)</f>
        <v>16399.44</v>
      </c>
      <c r="AS25" s="20">
        <f>SUM(AS22,AS23,AS24)</f>
        <v>16399.44</v>
      </c>
      <c r="AT25" s="20">
        <f>SUM(AT22,AT23,AT24)</f>
        <v>16399.44</v>
      </c>
      <c r="AU25" s="20">
        <f>SUM(AU22,AU23,AU24)</f>
        <v>16399.44</v>
      </c>
    </row>
    <row r="26" spans="1:48">
      <c r="A26" s="5" t="s">
        <v>232</v>
      </c>
      <c r="B26" s="12" t="s">
        <v>221</v>
      </c>
      <c r="C26" s="14" t="s">
        <v>233</v>
      </c>
      <c r="D26" s="22">
        <f>IFERROR(D25/D15,0)</f>
        <v>0.3477359452404743</v>
      </c>
      <c r="E26" s="22">
        <f>IFERROR(E25/E15,0)</f>
        <v>0.3461965026122026</v>
      </c>
      <c r="F26" s="22">
        <f>IFERROR(F25/F15,0)</f>
        <v>0.3446378825260016</v>
      </c>
      <c r="G26" s="22">
        <f>IFERROR(G25/G15,0)</f>
        <v>0.3430601995314032</v>
      </c>
      <c r="H26" s="22">
        <f>IFERROR(H25/H15,0)</f>
        <v>0.34146358354843326</v>
      </c>
      <c r="I26" s="22">
        <f>IFERROR(I25/I15,0)</f>
        <v>0.33000547579025963</v>
      </c>
      <c r="J26" s="22">
        <f>IFERROR(J25/J15,0)</f>
        <v>0.3136342985774934</v>
      </c>
      <c r="K26" s="22">
        <f>IFERROR(K25/K15,0)</f>
        <v>0.3002070216391355</v>
      </c>
      <c r="L26" s="22">
        <f>IFERROR(L25/L15,0)</f>
        <v>0.2730807661312992</v>
      </c>
      <c r="M26" s="22">
        <f>IFERROR(M25/M15,0)</f>
        <v>0.2663713870982041</v>
      </c>
      <c r="N26" s="22">
        <f>IFERROR(N25/N15,0)</f>
        <v>0.2604409775044506</v>
      </c>
      <c r="O26" s="22">
        <f>IFERROR(O25/O15,0)</f>
        <v>0.22804097750445057</v>
      </c>
      <c r="P26" s="22">
        <f>IFERROR(P25/P15,0)</f>
        <v>0.22804097750445057</v>
      </c>
      <c r="Q26" s="22">
        <f>IFERROR(Q25/Q15,0)</f>
        <v>0.22804097750445057</v>
      </c>
      <c r="R26" s="22">
        <f>IFERROR(R25/R15,0)</f>
        <v>0.22804097750445057</v>
      </c>
      <c r="S26" s="22">
        <f>IFERROR(S25/S15,0)</f>
        <v>0.21891865915158706</v>
      </c>
      <c r="T26" s="22">
        <f>IFERROR(T25/T15,0)</f>
        <v>0.21891865915158706</v>
      </c>
      <c r="U26" s="22">
        <f>IFERROR(U25/U15,0)</f>
        <v>0.21891865915158706</v>
      </c>
      <c r="V26" s="22">
        <f>IFERROR(V25/V15,0)</f>
        <v>0.21891865915158706</v>
      </c>
      <c r="W26" s="22">
        <f>IFERROR(W25/W15,0)</f>
        <v>0.21891865915158706</v>
      </c>
      <c r="X26" s="22">
        <f>IFERROR(X25/X15,0)</f>
        <v>0.21891865915158706</v>
      </c>
      <c r="Y26" s="22">
        <f>IFERROR(Y25/Y15,0)</f>
        <v>0.21891865915158706</v>
      </c>
      <c r="Z26" s="22">
        <f>IFERROR(Z25/Z15,0)</f>
        <v>0.21891865915158706</v>
      </c>
      <c r="AA26" s="22">
        <f>IFERROR(AA25/AA15,0)</f>
        <v>0.21891865915158706</v>
      </c>
      <c r="AB26" s="22">
        <f>IFERROR(AB25/AB15,0)</f>
        <v>0.21891865915158706</v>
      </c>
      <c r="AC26" s="22">
        <f>IFERROR(AC25/AC15,0)</f>
        <v>0.21891865915158706</v>
      </c>
      <c r="AD26" s="22">
        <f>IFERROR(AD25/AD15,0)</f>
        <v>0.21891865915158706</v>
      </c>
      <c r="AE26" s="22">
        <f>IFERROR(AE25/AE15,0)</f>
        <v>0.21891865915158706</v>
      </c>
      <c r="AF26" s="22">
        <f>IFERROR(AF25/AF15,0)</f>
        <v>0.21891865915158706</v>
      </c>
      <c r="AG26" s="22">
        <f>IFERROR(AG25/AG15,0)</f>
        <v>0.21891865915158706</v>
      </c>
      <c r="AH26" s="22">
        <f>IFERROR(AH25/AH15,0)</f>
        <v>0.21891865915158706</v>
      </c>
      <c r="AI26" s="22">
        <f>IFERROR(AI25/AI15,0)</f>
        <v>0.21891865915158706</v>
      </c>
      <c r="AJ26" s="22">
        <f>IFERROR(AJ25/AJ15,0)</f>
        <v>0.21891865915158706</v>
      </c>
      <c r="AK26" s="22">
        <f>IFERROR(AK25/AK15,0)</f>
        <v>0.21891865915158706</v>
      </c>
      <c r="AL26" s="22">
        <f>IFERROR(AL25/AL15,0)</f>
        <v>0.21891865915158706</v>
      </c>
      <c r="AM26" s="22">
        <f>IFERROR(AM25/AM15,0)</f>
        <v>0.21891865915158706</v>
      </c>
      <c r="AN26" s="22">
        <f>IFERROR(AN25/AN15,0)</f>
        <v>0.21891865915158706</v>
      </c>
      <c r="AO26" s="22">
        <f>IFERROR(AO25/AO15,0)</f>
        <v>0.21891865915158706</v>
      </c>
      <c r="AP26" s="22">
        <f>IFERROR(AP25/AP15,0)</f>
        <v>0.21891865915158706</v>
      </c>
      <c r="AQ26" s="22">
        <f>IFERROR(AQ25/AQ15,0)</f>
        <v>0.21891865915158706</v>
      </c>
      <c r="AR26" s="22">
        <f>IFERROR(AR25/AR15,0)</f>
        <v>0.21891865915158706</v>
      </c>
      <c r="AS26" s="22">
        <f>IFERROR(AS25/AS15,0)</f>
        <v>0.21891865915158706</v>
      </c>
      <c r="AT26" s="22">
        <f>IFERROR(AT25/AT15,0)</f>
        <v>0.21891865915158706</v>
      </c>
      <c r="AU26" s="22">
        <f>IFERROR(AU25/AU15,0)</f>
        <v>0.21891865915158706</v>
      </c>
    </row>
    <row r="27" spans="1:48">
      <c r="A27" s="3" t="s">
        <v>196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>
      <c r="A28" s="5" t="s">
        <v>234</v>
      </c>
      <c r="B28" s="12" t="s">
        <v>49</v>
      </c>
      <c r="C28" s="14" t="s">
        <v>235</v>
      </c>
      <c r="D28" s="21">
        <f>IF(D$5&lt;DATE(2026,10,1),'Inputs'!$F$41,IF(D$5&lt;DATE(2027,1,1),'Inputs'!$F$42,IF(D$5&lt;DATE(2027,6,1),'Inputs'!$F$43,IF(D$5&lt;DATE(2028,1,1),'Inputs'!$F$44,'Inputs'!$F$45))))</f>
        <v>1800.0</v>
      </c>
      <c r="E28" s="21">
        <f>IF(E$5&lt;DATE(2026,10,1),'Inputs'!$F$41,IF(E$5&lt;DATE(2027,1,1),'Inputs'!$F$42,IF(E$5&lt;DATE(2027,6,1),'Inputs'!$F$43,IF(E$5&lt;DATE(2028,1,1),'Inputs'!$F$44,'Inputs'!$F$45))))</f>
        <v>1800.0</v>
      </c>
      <c r="F28" s="21">
        <f>IF(F$5&lt;DATE(2026,10,1),'Inputs'!$F$41,IF(F$5&lt;DATE(2027,1,1),'Inputs'!$F$42,IF(F$5&lt;DATE(2027,6,1),'Inputs'!$F$43,IF(F$5&lt;DATE(2028,1,1),'Inputs'!$F$44,'Inputs'!$F$45))))</f>
        <v>1800.0</v>
      </c>
      <c r="G28" s="21">
        <f>IF(G$5&lt;DATE(2026,10,1),'Inputs'!$F$41,IF(G$5&lt;DATE(2027,1,1),'Inputs'!$F$42,IF(G$5&lt;DATE(2027,6,1),'Inputs'!$F$43,IF(G$5&lt;DATE(2028,1,1),'Inputs'!$F$44,'Inputs'!$F$45))))</f>
        <v>2600.0</v>
      </c>
      <c r="H28" s="21">
        <f>IF(H$5&lt;DATE(2026,10,1),'Inputs'!$F$41,IF(H$5&lt;DATE(2027,1,1),'Inputs'!$F$42,IF(H$5&lt;DATE(2027,6,1),'Inputs'!$F$43,IF(H$5&lt;DATE(2028,1,1),'Inputs'!$F$44,'Inputs'!$F$45))))</f>
        <v>2600.0</v>
      </c>
      <c r="I28" s="21">
        <f>IF(I$5&lt;DATE(2026,10,1),'Inputs'!$F$41,IF(I$5&lt;DATE(2027,1,1),'Inputs'!$F$42,IF(I$5&lt;DATE(2027,6,1),'Inputs'!$F$43,IF(I$5&lt;DATE(2028,1,1),'Inputs'!$F$44,'Inputs'!$F$45))))</f>
        <v>2600.0</v>
      </c>
      <c r="J28" s="21">
        <f>IF(J$5&lt;DATE(2026,10,1),'Inputs'!$F$41,IF(J$5&lt;DATE(2027,1,1),'Inputs'!$F$42,IF(J$5&lt;DATE(2027,6,1),'Inputs'!$F$43,IF(J$5&lt;DATE(2028,1,1),'Inputs'!$F$44,'Inputs'!$F$45))))</f>
        <v>2600.0</v>
      </c>
      <c r="K28" s="21">
        <f>IF(K$5&lt;DATE(2026,10,1),'Inputs'!$F$41,IF(K$5&lt;DATE(2027,1,1),'Inputs'!$F$42,IF(K$5&lt;DATE(2027,6,1),'Inputs'!$F$43,IF(K$5&lt;DATE(2028,1,1),'Inputs'!$F$44,'Inputs'!$F$45))))</f>
        <v>2600.0</v>
      </c>
      <c r="L28" s="21">
        <f>IF(L$5&lt;DATE(2026,10,1),'Inputs'!$F$41,IF(L$5&lt;DATE(2027,1,1),'Inputs'!$F$42,IF(L$5&lt;DATE(2027,6,1),'Inputs'!$F$43,IF(L$5&lt;DATE(2028,1,1),'Inputs'!$F$44,'Inputs'!$F$45))))</f>
        <v>3400.0</v>
      </c>
      <c r="M28" s="21">
        <f>IF(M$5&lt;DATE(2026,10,1),'Inputs'!$F$41,IF(M$5&lt;DATE(2027,1,1),'Inputs'!$F$42,IF(M$5&lt;DATE(2027,6,1),'Inputs'!$F$43,IF(M$5&lt;DATE(2028,1,1),'Inputs'!$F$44,'Inputs'!$F$45))))</f>
        <v>3400.0</v>
      </c>
      <c r="N28" s="21">
        <f>IF(N$5&lt;DATE(2026,10,1),'Inputs'!$F$41,IF(N$5&lt;DATE(2027,1,1),'Inputs'!$F$42,IF(N$5&lt;DATE(2027,6,1),'Inputs'!$F$43,IF(N$5&lt;DATE(2028,1,1),'Inputs'!$F$44,'Inputs'!$F$45))))</f>
        <v>3400.0</v>
      </c>
      <c r="O28" s="21">
        <f>IF(O$5&lt;DATE(2026,10,1),'Inputs'!$F$41,IF(O$5&lt;DATE(2027,1,1),'Inputs'!$F$42,IF(O$5&lt;DATE(2027,6,1),'Inputs'!$F$43,IF(O$5&lt;DATE(2028,1,1),'Inputs'!$F$44,'Inputs'!$F$45))))</f>
        <v>3400.0</v>
      </c>
      <c r="P28" s="21">
        <f>IF(P$5&lt;DATE(2026,10,1),'Inputs'!$F$41,IF(P$5&lt;DATE(2027,1,1),'Inputs'!$F$42,IF(P$5&lt;DATE(2027,6,1),'Inputs'!$F$43,IF(P$5&lt;DATE(2028,1,1),'Inputs'!$F$44,'Inputs'!$F$45))))</f>
        <v>3400.0</v>
      </c>
      <c r="Q28" s="21">
        <f>IF(Q$5&lt;DATE(2026,10,1),'Inputs'!$F$41,IF(Q$5&lt;DATE(2027,1,1),'Inputs'!$F$42,IF(Q$5&lt;DATE(2027,6,1),'Inputs'!$F$43,IF(Q$5&lt;DATE(2028,1,1),'Inputs'!$F$44,'Inputs'!$F$45))))</f>
        <v>3400.0</v>
      </c>
      <c r="R28" s="21">
        <f>IF(R$5&lt;DATE(2026,10,1),'Inputs'!$F$41,IF(R$5&lt;DATE(2027,1,1),'Inputs'!$F$42,IF(R$5&lt;DATE(2027,6,1),'Inputs'!$F$43,IF(R$5&lt;DATE(2028,1,1),'Inputs'!$F$44,'Inputs'!$F$45))))</f>
        <v>3400.0</v>
      </c>
      <c r="S28" s="21">
        <f>IF(S$5&lt;DATE(2026,10,1),'Inputs'!$F$41,IF(S$5&lt;DATE(2027,1,1),'Inputs'!$F$42,IF(S$5&lt;DATE(2027,6,1),'Inputs'!$F$43,IF(S$5&lt;DATE(2028,1,1),'Inputs'!$F$44,'Inputs'!$F$45))))</f>
        <v>3963.0</v>
      </c>
      <c r="T28" s="21">
        <f>IF(T$5&lt;DATE(2026,10,1),'Inputs'!$F$41,IF(T$5&lt;DATE(2027,1,1),'Inputs'!$F$42,IF(T$5&lt;DATE(2027,6,1),'Inputs'!$F$43,IF(T$5&lt;DATE(2028,1,1),'Inputs'!$F$44,'Inputs'!$F$45))))</f>
        <v>3963.0</v>
      </c>
      <c r="U28" s="21">
        <f>IF(U$5&lt;DATE(2026,10,1),'Inputs'!$F$41,IF(U$5&lt;DATE(2027,1,1),'Inputs'!$F$42,IF(U$5&lt;DATE(2027,6,1),'Inputs'!$F$43,IF(U$5&lt;DATE(2028,1,1),'Inputs'!$F$44,'Inputs'!$F$45))))</f>
        <v>3963.0</v>
      </c>
      <c r="V28" s="21">
        <f>IF(V$5&lt;DATE(2026,10,1),'Inputs'!$F$41,IF(V$5&lt;DATE(2027,1,1),'Inputs'!$F$42,IF(V$5&lt;DATE(2027,6,1),'Inputs'!$F$43,IF(V$5&lt;DATE(2028,1,1),'Inputs'!$F$44,'Inputs'!$F$45))))</f>
        <v>3963.0</v>
      </c>
      <c r="W28" s="21">
        <f>IF(W$5&lt;DATE(2026,10,1),'Inputs'!$F$41,IF(W$5&lt;DATE(2027,1,1),'Inputs'!$F$42,IF(W$5&lt;DATE(2027,6,1),'Inputs'!$F$43,IF(W$5&lt;DATE(2028,1,1),'Inputs'!$F$44,'Inputs'!$F$45))))</f>
        <v>3963.0</v>
      </c>
      <c r="X28" s="21">
        <f>IF(X$5&lt;DATE(2026,10,1),'Inputs'!$F$41,IF(X$5&lt;DATE(2027,1,1),'Inputs'!$F$42,IF(X$5&lt;DATE(2027,6,1),'Inputs'!$F$43,IF(X$5&lt;DATE(2028,1,1),'Inputs'!$F$44,'Inputs'!$F$45))))</f>
        <v>3963.0</v>
      </c>
      <c r="Y28" s="21">
        <f>IF(Y$5&lt;DATE(2026,10,1),'Inputs'!$F$41,IF(Y$5&lt;DATE(2027,1,1),'Inputs'!$F$42,IF(Y$5&lt;DATE(2027,6,1),'Inputs'!$F$43,IF(Y$5&lt;DATE(2028,1,1),'Inputs'!$F$44,'Inputs'!$F$45))))</f>
        <v>3963.0</v>
      </c>
      <c r="Z28" s="21">
        <f>IF(Z$5&lt;DATE(2026,10,1),'Inputs'!$F$41,IF(Z$5&lt;DATE(2027,1,1),'Inputs'!$F$42,IF(Z$5&lt;DATE(2027,6,1),'Inputs'!$F$43,IF(Z$5&lt;DATE(2028,1,1),'Inputs'!$F$44,'Inputs'!$F$45))))</f>
        <v>3963.0</v>
      </c>
      <c r="AA28" s="21">
        <f>IF(AA$5&lt;DATE(2026,10,1),'Inputs'!$F$41,IF(AA$5&lt;DATE(2027,1,1),'Inputs'!$F$42,IF(AA$5&lt;DATE(2027,6,1),'Inputs'!$F$43,IF(AA$5&lt;DATE(2028,1,1),'Inputs'!$F$44,'Inputs'!$F$45))))</f>
        <v>3963.0</v>
      </c>
      <c r="AB28" s="21">
        <f>IF(AB$5&lt;DATE(2026,10,1),'Inputs'!$F$41,IF(AB$5&lt;DATE(2027,1,1),'Inputs'!$F$42,IF(AB$5&lt;DATE(2027,6,1),'Inputs'!$F$43,IF(AB$5&lt;DATE(2028,1,1),'Inputs'!$F$44,'Inputs'!$F$45))))</f>
        <v>3963.0</v>
      </c>
      <c r="AC28" s="21">
        <f>IF(AC$5&lt;DATE(2026,10,1),'Inputs'!$F$41,IF(AC$5&lt;DATE(2027,1,1),'Inputs'!$F$42,IF(AC$5&lt;DATE(2027,6,1),'Inputs'!$F$43,IF(AC$5&lt;DATE(2028,1,1),'Inputs'!$F$44,'Inputs'!$F$45))))</f>
        <v>3963.0</v>
      </c>
      <c r="AD28" s="21">
        <f>IF(AD$5&lt;DATE(2026,10,1),'Inputs'!$F$41,IF(AD$5&lt;DATE(2027,1,1),'Inputs'!$F$42,IF(AD$5&lt;DATE(2027,6,1),'Inputs'!$F$43,IF(AD$5&lt;DATE(2028,1,1),'Inputs'!$F$44,'Inputs'!$F$45))))</f>
        <v>3963.0</v>
      </c>
      <c r="AE28" s="21">
        <f>IF(AE$5&lt;DATE(2026,10,1),'Inputs'!$F$41,IF(AE$5&lt;DATE(2027,1,1),'Inputs'!$F$42,IF(AE$5&lt;DATE(2027,6,1),'Inputs'!$F$43,IF(AE$5&lt;DATE(2028,1,1),'Inputs'!$F$44,'Inputs'!$F$45))))</f>
        <v>3963.0</v>
      </c>
      <c r="AF28" s="21">
        <f>IF(AF$5&lt;DATE(2026,10,1),'Inputs'!$F$41,IF(AF$5&lt;DATE(2027,1,1),'Inputs'!$F$42,IF(AF$5&lt;DATE(2027,6,1),'Inputs'!$F$43,IF(AF$5&lt;DATE(2028,1,1),'Inputs'!$F$44,'Inputs'!$F$45))))</f>
        <v>3963.0</v>
      </c>
      <c r="AG28" s="21">
        <f>IF(AG$5&lt;DATE(2026,10,1),'Inputs'!$F$41,IF(AG$5&lt;DATE(2027,1,1),'Inputs'!$F$42,IF(AG$5&lt;DATE(2027,6,1),'Inputs'!$F$43,IF(AG$5&lt;DATE(2028,1,1),'Inputs'!$F$44,'Inputs'!$F$45))))</f>
        <v>3963.0</v>
      </c>
      <c r="AH28" s="21">
        <f>IF(AH$5&lt;DATE(2026,10,1),'Inputs'!$F$41,IF(AH$5&lt;DATE(2027,1,1),'Inputs'!$F$42,IF(AH$5&lt;DATE(2027,6,1),'Inputs'!$F$43,IF(AH$5&lt;DATE(2028,1,1),'Inputs'!$F$44,'Inputs'!$F$45))))</f>
        <v>3963.0</v>
      </c>
      <c r="AI28" s="21">
        <f>IF(AI$5&lt;DATE(2026,10,1),'Inputs'!$F$41,IF(AI$5&lt;DATE(2027,1,1),'Inputs'!$F$42,IF(AI$5&lt;DATE(2027,6,1),'Inputs'!$F$43,IF(AI$5&lt;DATE(2028,1,1),'Inputs'!$F$44,'Inputs'!$F$45))))</f>
        <v>3963.0</v>
      </c>
      <c r="AJ28" s="21">
        <f>IF(AJ$5&lt;DATE(2026,10,1),'Inputs'!$F$41,IF(AJ$5&lt;DATE(2027,1,1),'Inputs'!$F$42,IF(AJ$5&lt;DATE(2027,6,1),'Inputs'!$F$43,IF(AJ$5&lt;DATE(2028,1,1),'Inputs'!$F$44,'Inputs'!$F$45))))</f>
        <v>3963.0</v>
      </c>
      <c r="AK28" s="21">
        <f>IF(AK$5&lt;DATE(2026,10,1),'Inputs'!$F$41,IF(AK$5&lt;DATE(2027,1,1),'Inputs'!$F$42,IF(AK$5&lt;DATE(2027,6,1),'Inputs'!$F$43,IF(AK$5&lt;DATE(2028,1,1),'Inputs'!$F$44,'Inputs'!$F$45))))</f>
        <v>3963.0</v>
      </c>
      <c r="AL28" s="21">
        <f>IF(AL$5&lt;DATE(2026,10,1),'Inputs'!$F$41,IF(AL$5&lt;DATE(2027,1,1),'Inputs'!$F$42,IF(AL$5&lt;DATE(2027,6,1),'Inputs'!$F$43,IF(AL$5&lt;DATE(2028,1,1),'Inputs'!$F$44,'Inputs'!$F$45))))</f>
        <v>3963.0</v>
      </c>
      <c r="AM28" s="21">
        <f>IF(AM$5&lt;DATE(2026,10,1),'Inputs'!$F$41,IF(AM$5&lt;DATE(2027,1,1),'Inputs'!$F$42,IF(AM$5&lt;DATE(2027,6,1),'Inputs'!$F$43,IF(AM$5&lt;DATE(2028,1,1),'Inputs'!$F$44,'Inputs'!$F$45))))</f>
        <v>3963.0</v>
      </c>
      <c r="AN28" s="21">
        <f>IF(AN$5&lt;DATE(2026,10,1),'Inputs'!$F$41,IF(AN$5&lt;DATE(2027,1,1),'Inputs'!$F$42,IF(AN$5&lt;DATE(2027,6,1),'Inputs'!$F$43,IF(AN$5&lt;DATE(2028,1,1),'Inputs'!$F$44,'Inputs'!$F$45))))</f>
        <v>3963.0</v>
      </c>
      <c r="AO28" s="21">
        <f>IF(AO$5&lt;DATE(2026,10,1),'Inputs'!$F$41,IF(AO$5&lt;DATE(2027,1,1),'Inputs'!$F$42,IF(AO$5&lt;DATE(2027,6,1),'Inputs'!$F$43,IF(AO$5&lt;DATE(2028,1,1),'Inputs'!$F$44,'Inputs'!$F$45))))</f>
        <v>3963.0</v>
      </c>
      <c r="AP28" s="21">
        <f>IF(AP$5&lt;DATE(2026,10,1),'Inputs'!$F$41,IF(AP$5&lt;DATE(2027,1,1),'Inputs'!$F$42,IF(AP$5&lt;DATE(2027,6,1),'Inputs'!$F$43,IF(AP$5&lt;DATE(2028,1,1),'Inputs'!$F$44,'Inputs'!$F$45))))</f>
        <v>3963.0</v>
      </c>
      <c r="AQ28" s="21">
        <f>IF(AQ$5&lt;DATE(2026,10,1),'Inputs'!$F$41,IF(AQ$5&lt;DATE(2027,1,1),'Inputs'!$F$42,IF(AQ$5&lt;DATE(2027,6,1),'Inputs'!$F$43,IF(AQ$5&lt;DATE(2028,1,1),'Inputs'!$F$44,'Inputs'!$F$45))))</f>
        <v>3963.0</v>
      </c>
      <c r="AR28" s="21">
        <f>IF(AR$5&lt;DATE(2026,10,1),'Inputs'!$F$41,IF(AR$5&lt;DATE(2027,1,1),'Inputs'!$F$42,IF(AR$5&lt;DATE(2027,6,1),'Inputs'!$F$43,IF(AR$5&lt;DATE(2028,1,1),'Inputs'!$F$44,'Inputs'!$F$45))))</f>
        <v>3963.0</v>
      </c>
      <c r="AS28" s="21">
        <f>IF(AS$5&lt;DATE(2026,10,1),'Inputs'!$F$41,IF(AS$5&lt;DATE(2027,1,1),'Inputs'!$F$42,IF(AS$5&lt;DATE(2027,6,1),'Inputs'!$F$43,IF(AS$5&lt;DATE(2028,1,1),'Inputs'!$F$44,'Inputs'!$F$45))))</f>
        <v>3963.0</v>
      </c>
      <c r="AT28" s="21">
        <f>IF(AT$5&lt;DATE(2026,10,1),'Inputs'!$F$41,IF(AT$5&lt;DATE(2027,1,1),'Inputs'!$F$42,IF(AT$5&lt;DATE(2027,6,1),'Inputs'!$F$43,IF(AT$5&lt;DATE(2028,1,1),'Inputs'!$F$44,'Inputs'!$F$45))))</f>
        <v>3963.0</v>
      </c>
      <c r="AU28" s="21">
        <f>IF(AU$5&lt;DATE(2026,10,1),'Inputs'!$F$41,IF(AU$5&lt;DATE(2027,1,1),'Inputs'!$F$42,IF(AU$5&lt;DATE(2027,6,1),'Inputs'!$F$43,IF(AU$5&lt;DATE(2028,1,1),'Inputs'!$F$44,'Inputs'!$F$45))))</f>
        <v>3963.0</v>
      </c>
    </row>
    <row r="29" spans="1:48">
      <c r="A29" s="5" t="s">
        <v>48</v>
      </c>
      <c r="B29" s="12" t="s">
        <v>49</v>
      </c>
      <c r="C29" s="14" t="s">
        <v>236</v>
      </c>
      <c r="D29" s="21">
        <f>IF(D$5&gt;='Inputs'!$F$46,'Inputs'!$F$8,0)</f>
        <v>0.0</v>
      </c>
      <c r="E29" s="21">
        <f>IF(E$5&gt;='Inputs'!$F$46,'Inputs'!$F$8,0)</f>
        <v>0.0</v>
      </c>
      <c r="F29" s="21">
        <f>IF(F$5&gt;='Inputs'!$F$46,'Inputs'!$F$8,0)</f>
        <v>0.0</v>
      </c>
      <c r="G29" s="21">
        <f>IF(G$5&gt;='Inputs'!$F$46,'Inputs'!$F$8,0)</f>
        <v>0.0</v>
      </c>
      <c r="H29" s="21">
        <f>IF(H$5&gt;='Inputs'!$F$46,'Inputs'!$F$8,0)</f>
        <v>0.0</v>
      </c>
      <c r="I29" s="21">
        <f>IF(I$5&gt;='Inputs'!$F$46,'Inputs'!$F$8,0)</f>
        <v>700.0</v>
      </c>
      <c r="J29" s="21">
        <f>IF(J$5&gt;='Inputs'!$F$46,'Inputs'!$F$8,0)</f>
        <v>700.0</v>
      </c>
      <c r="K29" s="21">
        <f>IF(K$5&gt;='Inputs'!$F$46,'Inputs'!$F$8,0)</f>
        <v>700.0</v>
      </c>
      <c r="L29" s="21">
        <f>IF(L$5&gt;='Inputs'!$F$46,'Inputs'!$F$8,0)</f>
        <v>700.0</v>
      </c>
      <c r="M29" s="21">
        <f>IF(M$5&gt;='Inputs'!$F$46,'Inputs'!$F$8,0)</f>
        <v>700.0</v>
      </c>
      <c r="N29" s="21">
        <f>IF(N$5&gt;='Inputs'!$F$46,'Inputs'!$F$8,0)</f>
        <v>700.0</v>
      </c>
      <c r="O29" s="21">
        <f>IF(O$5&gt;='Inputs'!$F$46,'Inputs'!$F$8,0)</f>
        <v>700.0</v>
      </c>
      <c r="P29" s="21">
        <f>IF(P$5&gt;='Inputs'!$F$46,'Inputs'!$F$8,0)</f>
        <v>700.0</v>
      </c>
      <c r="Q29" s="21">
        <f>IF(Q$5&gt;='Inputs'!$F$46,'Inputs'!$F$8,0)</f>
        <v>700.0</v>
      </c>
      <c r="R29" s="21">
        <f>IF(R$5&gt;='Inputs'!$F$46,'Inputs'!$F$8,0)</f>
        <v>700.0</v>
      </c>
      <c r="S29" s="21">
        <f>IF(S$5&gt;='Inputs'!$F$46,'Inputs'!$F$8,0)</f>
        <v>700.0</v>
      </c>
      <c r="T29" s="21">
        <f>IF(T$5&gt;='Inputs'!$F$46,'Inputs'!$F$8,0)</f>
        <v>700.0</v>
      </c>
      <c r="U29" s="21">
        <f>IF(U$5&gt;='Inputs'!$F$46,'Inputs'!$F$8,0)</f>
        <v>700.0</v>
      </c>
      <c r="V29" s="21">
        <f>IF(V$5&gt;='Inputs'!$F$46,'Inputs'!$F$8,0)</f>
        <v>700.0</v>
      </c>
      <c r="W29" s="21">
        <f>IF(W$5&gt;='Inputs'!$F$46,'Inputs'!$F$8,0)</f>
        <v>700.0</v>
      </c>
      <c r="X29" s="21">
        <f>IF(X$5&gt;='Inputs'!$F$46,'Inputs'!$F$8,0)</f>
        <v>700.0</v>
      </c>
      <c r="Y29" s="21">
        <f>IF(Y$5&gt;='Inputs'!$F$46,'Inputs'!$F$8,0)</f>
        <v>700.0</v>
      </c>
      <c r="Z29" s="21">
        <f>IF(Z$5&gt;='Inputs'!$F$46,'Inputs'!$F$8,0)</f>
        <v>700.0</v>
      </c>
      <c r="AA29" s="21">
        <f>IF(AA$5&gt;='Inputs'!$F$46,'Inputs'!$F$8,0)</f>
        <v>700.0</v>
      </c>
      <c r="AB29" s="21">
        <f>IF(AB$5&gt;='Inputs'!$F$46,'Inputs'!$F$8,0)</f>
        <v>700.0</v>
      </c>
      <c r="AC29" s="21">
        <f>IF(AC$5&gt;='Inputs'!$F$46,'Inputs'!$F$8,0)</f>
        <v>700.0</v>
      </c>
      <c r="AD29" s="21">
        <f>IF(AD$5&gt;='Inputs'!$F$46,'Inputs'!$F$8,0)</f>
        <v>700.0</v>
      </c>
      <c r="AE29" s="21">
        <f>IF(AE$5&gt;='Inputs'!$F$46,'Inputs'!$F$8,0)</f>
        <v>700.0</v>
      </c>
      <c r="AF29" s="21">
        <f>IF(AF$5&gt;='Inputs'!$F$46,'Inputs'!$F$8,0)</f>
        <v>700.0</v>
      </c>
      <c r="AG29" s="21">
        <f>IF(AG$5&gt;='Inputs'!$F$46,'Inputs'!$F$8,0)</f>
        <v>700.0</v>
      </c>
      <c r="AH29" s="21">
        <f>IF(AH$5&gt;='Inputs'!$F$46,'Inputs'!$F$8,0)</f>
        <v>700.0</v>
      </c>
      <c r="AI29" s="21">
        <f>IF(AI$5&gt;='Inputs'!$F$46,'Inputs'!$F$8,0)</f>
        <v>700.0</v>
      </c>
      <c r="AJ29" s="21">
        <f>IF(AJ$5&gt;='Inputs'!$F$46,'Inputs'!$F$8,0)</f>
        <v>700.0</v>
      </c>
      <c r="AK29" s="21">
        <f>IF(AK$5&gt;='Inputs'!$F$46,'Inputs'!$F$8,0)</f>
        <v>700.0</v>
      </c>
      <c r="AL29" s="21">
        <f>IF(AL$5&gt;='Inputs'!$F$46,'Inputs'!$F$8,0)</f>
        <v>700.0</v>
      </c>
      <c r="AM29" s="21">
        <f>IF(AM$5&gt;='Inputs'!$F$46,'Inputs'!$F$8,0)</f>
        <v>700.0</v>
      </c>
      <c r="AN29" s="21">
        <f>IF(AN$5&gt;='Inputs'!$F$46,'Inputs'!$F$8,0)</f>
        <v>700.0</v>
      </c>
      <c r="AO29" s="21">
        <f>IF(AO$5&gt;='Inputs'!$F$46,'Inputs'!$F$8,0)</f>
        <v>700.0</v>
      </c>
      <c r="AP29" s="21">
        <f>IF(AP$5&gt;='Inputs'!$F$46,'Inputs'!$F$8,0)</f>
        <v>700.0</v>
      </c>
      <c r="AQ29" s="21">
        <f>IF(AQ$5&gt;='Inputs'!$F$46,'Inputs'!$F$8,0)</f>
        <v>700.0</v>
      </c>
      <c r="AR29" s="21">
        <f>IF(AR$5&gt;='Inputs'!$F$46,'Inputs'!$F$8,0)</f>
        <v>700.0</v>
      </c>
      <c r="AS29" s="21">
        <f>IF(AS$5&gt;='Inputs'!$F$46,'Inputs'!$F$8,0)</f>
        <v>700.0</v>
      </c>
      <c r="AT29" s="21">
        <f>IF(AT$5&gt;='Inputs'!$F$46,'Inputs'!$F$8,0)</f>
        <v>700.0</v>
      </c>
      <c r="AU29" s="21">
        <f>IF(AU$5&gt;='Inputs'!$F$46,'Inputs'!$F$8,0)</f>
        <v>700.0</v>
      </c>
    </row>
    <row r="30" spans="1:48">
      <c r="A30" s="19" t="s">
        <v>237</v>
      </c>
      <c r="B30" s="12" t="s">
        <v>49</v>
      </c>
      <c r="C30" s="14" t="s">
        <v>238</v>
      </c>
      <c r="D30" s="20">
        <f>SUM(D28:D29)</f>
        <v>1800.0</v>
      </c>
      <c r="E30" s="20">
        <f>SUM(E28:E29)</f>
        <v>1800.0</v>
      </c>
      <c r="F30" s="20">
        <f>SUM(F28:F29)</f>
        <v>1800.0</v>
      </c>
      <c r="G30" s="20">
        <f>SUM(G28:G29)</f>
        <v>2600.0</v>
      </c>
      <c r="H30" s="20">
        <f>SUM(H28:H29)</f>
        <v>2600.0</v>
      </c>
      <c r="I30" s="20">
        <f>SUM(I28:I29)</f>
        <v>3300.0</v>
      </c>
      <c r="J30" s="20">
        <f>SUM(J28:J29)</f>
        <v>3300.0</v>
      </c>
      <c r="K30" s="20">
        <f>SUM(K28:K29)</f>
        <v>3300.0</v>
      </c>
      <c r="L30" s="20">
        <f>SUM(L28:L29)</f>
        <v>4100.0</v>
      </c>
      <c r="M30" s="20">
        <f>SUM(M28:M29)</f>
        <v>4100.0</v>
      </c>
      <c r="N30" s="20">
        <f>SUM(N28:N29)</f>
        <v>4100.0</v>
      </c>
      <c r="O30" s="20">
        <f>SUM(O28:O29)</f>
        <v>4100.0</v>
      </c>
      <c r="P30" s="20">
        <f>SUM(P28:P29)</f>
        <v>4100.0</v>
      </c>
      <c r="Q30" s="20">
        <f>SUM(Q28:Q29)</f>
        <v>4100.0</v>
      </c>
      <c r="R30" s="20">
        <f>SUM(R28:R29)</f>
        <v>4100.0</v>
      </c>
      <c r="S30" s="20">
        <f>SUM(S28:S29)</f>
        <v>4663.0</v>
      </c>
      <c r="T30" s="20">
        <f>SUM(T28:T29)</f>
        <v>4663.0</v>
      </c>
      <c r="U30" s="20">
        <f>SUM(U28:U29)</f>
        <v>4663.0</v>
      </c>
      <c r="V30" s="20">
        <f>SUM(V28:V29)</f>
        <v>4663.0</v>
      </c>
      <c r="W30" s="20">
        <f>SUM(W28:W29)</f>
        <v>4663.0</v>
      </c>
      <c r="X30" s="20">
        <f>SUM(X28:X29)</f>
        <v>4663.0</v>
      </c>
      <c r="Y30" s="20">
        <f>SUM(Y28:Y29)</f>
        <v>4663.0</v>
      </c>
      <c r="Z30" s="20">
        <f>SUM(Z28:Z29)</f>
        <v>4663.0</v>
      </c>
      <c r="AA30" s="20">
        <f>SUM(AA28:AA29)</f>
        <v>4663.0</v>
      </c>
      <c r="AB30" s="20">
        <f>SUM(AB28:AB29)</f>
        <v>4663.0</v>
      </c>
      <c r="AC30" s="20">
        <f>SUM(AC28:AC29)</f>
        <v>4663.0</v>
      </c>
      <c r="AD30" s="20">
        <f>SUM(AD28:AD29)</f>
        <v>4663.0</v>
      </c>
      <c r="AE30" s="20">
        <f>SUM(AE28:AE29)</f>
        <v>4663.0</v>
      </c>
      <c r="AF30" s="20">
        <f>SUM(AF28:AF29)</f>
        <v>4663.0</v>
      </c>
      <c r="AG30" s="20">
        <f>SUM(AG28:AG29)</f>
        <v>4663.0</v>
      </c>
      <c r="AH30" s="20">
        <f>SUM(AH28:AH29)</f>
        <v>4663.0</v>
      </c>
      <c r="AI30" s="20">
        <f>SUM(AI28:AI29)</f>
        <v>4663.0</v>
      </c>
      <c r="AJ30" s="20">
        <f>SUM(AJ28:AJ29)</f>
        <v>4663.0</v>
      </c>
      <c r="AK30" s="20">
        <f>SUM(AK28:AK29)</f>
        <v>4663.0</v>
      </c>
      <c r="AL30" s="20">
        <f>SUM(AL28:AL29)</f>
        <v>4663.0</v>
      </c>
      <c r="AM30" s="20">
        <f>SUM(AM28:AM29)</f>
        <v>4663.0</v>
      </c>
      <c r="AN30" s="20">
        <f>SUM(AN28:AN29)</f>
        <v>4663.0</v>
      </c>
      <c r="AO30" s="20">
        <f>SUM(AO28:AO29)</f>
        <v>4663.0</v>
      </c>
      <c r="AP30" s="20">
        <f>SUM(AP28:AP29)</f>
        <v>4663.0</v>
      </c>
      <c r="AQ30" s="20">
        <f>SUM(AQ28:AQ29)</f>
        <v>4663.0</v>
      </c>
      <c r="AR30" s="20">
        <f>SUM(AR28:AR29)</f>
        <v>4663.0</v>
      </c>
      <c r="AS30" s="20">
        <f>SUM(AS28:AS29)</f>
        <v>4663.0</v>
      </c>
      <c r="AT30" s="20">
        <f>SUM(AT28:AT29)</f>
        <v>4663.0</v>
      </c>
      <c r="AU30" s="20">
        <f>SUM(AU28:AU29)</f>
        <v>4663.0</v>
      </c>
    </row>
    <row r="31" spans="1:48">
      <c r="A31" s="5" t="s">
        <v>239</v>
      </c>
      <c r="B31" s="12" t="s">
        <v>49</v>
      </c>
      <c r="C31" s="14" t="s">
        <v>240</v>
      </c>
      <c r="D31" s="21">
        <f>IF(D$5&gt;='Inputs'!$F$59,'Inputs'!$F$9*'Inputs'!$F$47,0)</f>
        <v>0.0</v>
      </c>
      <c r="E31" s="21">
        <f>IF(E$5&gt;='Inputs'!$F$59,'Inputs'!$F$9*'Inputs'!$F$47,0)</f>
        <v>0.0</v>
      </c>
      <c r="F31" s="21">
        <f>IF(F$5&gt;='Inputs'!$F$59,'Inputs'!$F$9*'Inputs'!$F$47,0)</f>
        <v>0.0</v>
      </c>
      <c r="G31" s="21">
        <f>IF(G$5&gt;='Inputs'!$F$59,'Inputs'!$F$9*'Inputs'!$F$47,0)</f>
        <v>5000.0</v>
      </c>
      <c r="H31" s="21">
        <f>IF(H$5&gt;='Inputs'!$F$59,'Inputs'!$F$9*'Inputs'!$F$47,0)</f>
        <v>5000.0</v>
      </c>
      <c r="I31" s="21">
        <f>IF(I$5&gt;='Inputs'!$F$59,'Inputs'!$F$9*'Inputs'!$F$47,0)</f>
        <v>5000.0</v>
      </c>
      <c r="J31" s="21">
        <f>IF(J$5&gt;='Inputs'!$F$59,'Inputs'!$F$9*'Inputs'!$F$47,0)</f>
        <v>5000.0</v>
      </c>
      <c r="K31" s="21">
        <f>IF(K$5&gt;='Inputs'!$F$59,'Inputs'!$F$9*'Inputs'!$F$47,0)</f>
        <v>5000.0</v>
      </c>
      <c r="L31" s="21">
        <f>IF(L$5&gt;='Inputs'!$F$59,'Inputs'!$F$9*'Inputs'!$F$47,0)</f>
        <v>5000.0</v>
      </c>
      <c r="M31" s="21">
        <f>IF(M$5&gt;='Inputs'!$F$59,'Inputs'!$F$9*'Inputs'!$F$47,0)</f>
        <v>5000.0</v>
      </c>
      <c r="N31" s="21">
        <f>IF(N$5&gt;='Inputs'!$F$59,'Inputs'!$F$9*'Inputs'!$F$47,0)</f>
        <v>5000.0</v>
      </c>
      <c r="O31" s="21">
        <f>IF(O$5&gt;='Inputs'!$F$59,'Inputs'!$F$9*'Inputs'!$F$47,0)</f>
        <v>5000.0</v>
      </c>
      <c r="P31" s="21">
        <f>IF(P$5&gt;='Inputs'!$F$59,'Inputs'!$F$9*'Inputs'!$F$47,0)</f>
        <v>5000.0</v>
      </c>
      <c r="Q31" s="21">
        <f>IF(Q$5&gt;='Inputs'!$F$59,'Inputs'!$F$9*'Inputs'!$F$47,0)</f>
        <v>5000.0</v>
      </c>
      <c r="R31" s="21">
        <f>IF(R$5&gt;='Inputs'!$F$59,'Inputs'!$F$9*'Inputs'!$F$47,0)</f>
        <v>5000.0</v>
      </c>
      <c r="S31" s="21">
        <f>IF(S$5&gt;='Inputs'!$F$59,'Inputs'!$F$9*'Inputs'!$F$47,0)</f>
        <v>5000.0</v>
      </c>
      <c r="T31" s="21">
        <f>IF(T$5&gt;='Inputs'!$F$59,'Inputs'!$F$9*'Inputs'!$F$47,0)</f>
        <v>5000.0</v>
      </c>
      <c r="U31" s="21">
        <f>IF(U$5&gt;='Inputs'!$F$59,'Inputs'!$F$9*'Inputs'!$F$47,0)</f>
        <v>5000.0</v>
      </c>
      <c r="V31" s="21">
        <f>IF(V$5&gt;='Inputs'!$F$59,'Inputs'!$F$9*'Inputs'!$F$47,0)</f>
        <v>5000.0</v>
      </c>
      <c r="W31" s="21">
        <f>IF(W$5&gt;='Inputs'!$F$59,'Inputs'!$F$9*'Inputs'!$F$47,0)</f>
        <v>5000.0</v>
      </c>
      <c r="X31" s="21">
        <f>IF(X$5&gt;='Inputs'!$F$59,'Inputs'!$F$9*'Inputs'!$F$47,0)</f>
        <v>5000.0</v>
      </c>
      <c r="Y31" s="21">
        <f>IF(Y$5&gt;='Inputs'!$F$59,'Inputs'!$F$9*'Inputs'!$F$47,0)</f>
        <v>5000.0</v>
      </c>
      <c r="Z31" s="21">
        <f>IF(Z$5&gt;='Inputs'!$F$59,'Inputs'!$F$9*'Inputs'!$F$47,0)</f>
        <v>5000.0</v>
      </c>
      <c r="AA31" s="21">
        <f>IF(AA$5&gt;='Inputs'!$F$59,'Inputs'!$F$9*'Inputs'!$F$47,0)</f>
        <v>5000.0</v>
      </c>
      <c r="AB31" s="21">
        <f>IF(AB$5&gt;='Inputs'!$F$59,'Inputs'!$F$9*'Inputs'!$F$47,0)</f>
        <v>5000.0</v>
      </c>
      <c r="AC31" s="21">
        <f>IF(AC$5&gt;='Inputs'!$F$59,'Inputs'!$F$9*'Inputs'!$F$47,0)</f>
        <v>5000.0</v>
      </c>
      <c r="AD31" s="21">
        <f>IF(AD$5&gt;='Inputs'!$F$59,'Inputs'!$F$9*'Inputs'!$F$47,0)</f>
        <v>5000.0</v>
      </c>
      <c r="AE31" s="21">
        <f>IF(AE$5&gt;='Inputs'!$F$59,'Inputs'!$F$9*'Inputs'!$F$47,0)</f>
        <v>5000.0</v>
      </c>
      <c r="AF31" s="21">
        <f>IF(AF$5&gt;='Inputs'!$F$59,'Inputs'!$F$9*'Inputs'!$F$47,0)</f>
        <v>5000.0</v>
      </c>
      <c r="AG31" s="21">
        <f>IF(AG$5&gt;='Inputs'!$F$59,'Inputs'!$F$9*'Inputs'!$F$47,0)</f>
        <v>5000.0</v>
      </c>
      <c r="AH31" s="21">
        <f>IF(AH$5&gt;='Inputs'!$F$59,'Inputs'!$F$9*'Inputs'!$F$47,0)</f>
        <v>5000.0</v>
      </c>
      <c r="AI31" s="21">
        <f>IF(AI$5&gt;='Inputs'!$F$59,'Inputs'!$F$9*'Inputs'!$F$47,0)</f>
        <v>5000.0</v>
      </c>
      <c r="AJ31" s="21">
        <f>IF(AJ$5&gt;='Inputs'!$F$59,'Inputs'!$F$9*'Inputs'!$F$47,0)</f>
        <v>5000.0</v>
      </c>
      <c r="AK31" s="21">
        <f>IF(AK$5&gt;='Inputs'!$F$59,'Inputs'!$F$9*'Inputs'!$F$47,0)</f>
        <v>5000.0</v>
      </c>
      <c r="AL31" s="21">
        <f>IF(AL$5&gt;='Inputs'!$F$59,'Inputs'!$F$9*'Inputs'!$F$47,0)</f>
        <v>5000.0</v>
      </c>
      <c r="AM31" s="21">
        <f>IF(AM$5&gt;='Inputs'!$F$59,'Inputs'!$F$9*'Inputs'!$F$47,0)</f>
        <v>5000.0</v>
      </c>
      <c r="AN31" s="21">
        <f>IF(AN$5&gt;='Inputs'!$F$59,'Inputs'!$F$9*'Inputs'!$F$47,0)</f>
        <v>5000.0</v>
      </c>
      <c r="AO31" s="21">
        <f>IF(AO$5&gt;='Inputs'!$F$59,'Inputs'!$F$9*'Inputs'!$F$47,0)</f>
        <v>5000.0</v>
      </c>
      <c r="AP31" s="21">
        <f>IF(AP$5&gt;='Inputs'!$F$59,'Inputs'!$F$9*'Inputs'!$F$47,0)</f>
        <v>5000.0</v>
      </c>
      <c r="AQ31" s="21">
        <f>IF(AQ$5&gt;='Inputs'!$F$59,'Inputs'!$F$9*'Inputs'!$F$47,0)</f>
        <v>5000.0</v>
      </c>
      <c r="AR31" s="21">
        <f>IF(AR$5&gt;='Inputs'!$F$59,'Inputs'!$F$9*'Inputs'!$F$47,0)</f>
        <v>5000.0</v>
      </c>
      <c r="AS31" s="21">
        <f>IF(AS$5&gt;='Inputs'!$F$59,'Inputs'!$F$9*'Inputs'!$F$47,0)</f>
        <v>5000.0</v>
      </c>
      <c r="AT31" s="21">
        <f>IF(AT$5&gt;='Inputs'!$F$59,'Inputs'!$F$9*'Inputs'!$F$47,0)</f>
        <v>5000.0</v>
      </c>
      <c r="AU31" s="21">
        <f>IF(AU$5&gt;='Inputs'!$F$59,'Inputs'!$F$9*'Inputs'!$F$47,0)</f>
        <v>5000.0</v>
      </c>
    </row>
    <row r="32" spans="1:48">
      <c r="A32" s="5" t="s">
        <v>241</v>
      </c>
      <c r="B32" s="12" t="s">
        <v>49</v>
      </c>
      <c r="C32" s="14" t="s">
        <v>242</v>
      </c>
      <c r="D32" s="21">
        <f>'Inputs'!$F$49</f>
        <v>150.0</v>
      </c>
      <c r="E32" s="21">
        <f>'Inputs'!$F$49</f>
        <v>150.0</v>
      </c>
      <c r="F32" s="21">
        <f>'Inputs'!$F$49</f>
        <v>150.0</v>
      </c>
      <c r="G32" s="21">
        <f>'Inputs'!$F$49</f>
        <v>150.0</v>
      </c>
      <c r="H32" s="21">
        <f>'Inputs'!$F$49</f>
        <v>150.0</v>
      </c>
      <c r="I32" s="21">
        <f>'Inputs'!$F$49</f>
        <v>150.0</v>
      </c>
      <c r="J32" s="21">
        <f>'Inputs'!$F$49</f>
        <v>150.0</v>
      </c>
      <c r="K32" s="21">
        <f>'Inputs'!$F$49</f>
        <v>150.0</v>
      </c>
      <c r="L32" s="21">
        <f>'Inputs'!$F$49</f>
        <v>150.0</v>
      </c>
      <c r="M32" s="21">
        <f>'Inputs'!$F$49</f>
        <v>150.0</v>
      </c>
      <c r="N32" s="21">
        <f>'Inputs'!$F$49</f>
        <v>150.0</v>
      </c>
      <c r="O32" s="21">
        <f>'Inputs'!$F$49</f>
        <v>150.0</v>
      </c>
      <c r="P32" s="21">
        <f>'Inputs'!$F$49</f>
        <v>150.0</v>
      </c>
      <c r="Q32" s="21">
        <f>'Inputs'!$F$49</f>
        <v>150.0</v>
      </c>
      <c r="R32" s="21">
        <f>'Inputs'!$F$49</f>
        <v>150.0</v>
      </c>
      <c r="S32" s="21">
        <f>'Inputs'!$F$49</f>
        <v>150.0</v>
      </c>
      <c r="T32" s="21">
        <f>'Inputs'!$F$49</f>
        <v>150.0</v>
      </c>
      <c r="U32" s="21">
        <f>'Inputs'!$F$49</f>
        <v>150.0</v>
      </c>
      <c r="V32" s="21">
        <f>'Inputs'!$F$49</f>
        <v>150.0</v>
      </c>
      <c r="W32" s="21">
        <f>'Inputs'!$F$49</f>
        <v>150.0</v>
      </c>
      <c r="X32" s="21">
        <f>'Inputs'!$F$49</f>
        <v>150.0</v>
      </c>
      <c r="Y32" s="21">
        <f>'Inputs'!$F$49</f>
        <v>150.0</v>
      </c>
      <c r="Z32" s="21">
        <f>'Inputs'!$F$49</f>
        <v>150.0</v>
      </c>
      <c r="AA32" s="21">
        <f>'Inputs'!$F$49</f>
        <v>150.0</v>
      </c>
      <c r="AB32" s="21">
        <f>'Inputs'!$F$49</f>
        <v>150.0</v>
      </c>
      <c r="AC32" s="21">
        <f>'Inputs'!$F$49</f>
        <v>150.0</v>
      </c>
      <c r="AD32" s="21">
        <f>'Inputs'!$F$49</f>
        <v>150.0</v>
      </c>
      <c r="AE32" s="21">
        <f>'Inputs'!$F$49</f>
        <v>150.0</v>
      </c>
      <c r="AF32" s="21">
        <f>'Inputs'!$F$49</f>
        <v>150.0</v>
      </c>
      <c r="AG32" s="21">
        <f>'Inputs'!$F$49</f>
        <v>150.0</v>
      </c>
      <c r="AH32" s="21">
        <f>'Inputs'!$F$49</f>
        <v>150.0</v>
      </c>
      <c r="AI32" s="21">
        <f>'Inputs'!$F$49</f>
        <v>150.0</v>
      </c>
      <c r="AJ32" s="21">
        <f>'Inputs'!$F$49</f>
        <v>150.0</v>
      </c>
      <c r="AK32" s="21">
        <f>'Inputs'!$F$49</f>
        <v>150.0</v>
      </c>
      <c r="AL32" s="21">
        <f>'Inputs'!$F$49</f>
        <v>150.0</v>
      </c>
      <c r="AM32" s="21">
        <f>'Inputs'!$F$49</f>
        <v>150.0</v>
      </c>
      <c r="AN32" s="21">
        <f>'Inputs'!$F$49</f>
        <v>150.0</v>
      </c>
      <c r="AO32" s="21">
        <f>'Inputs'!$F$49</f>
        <v>150.0</v>
      </c>
      <c r="AP32" s="21">
        <f>'Inputs'!$F$49</f>
        <v>150.0</v>
      </c>
      <c r="AQ32" s="21">
        <f>'Inputs'!$F$49</f>
        <v>150.0</v>
      </c>
      <c r="AR32" s="21">
        <f>'Inputs'!$F$49</f>
        <v>150.0</v>
      </c>
      <c r="AS32" s="21">
        <f>'Inputs'!$F$49</f>
        <v>150.0</v>
      </c>
      <c r="AT32" s="21">
        <f>'Inputs'!$F$49</f>
        <v>150.0</v>
      </c>
      <c r="AU32" s="21">
        <f>'Inputs'!$F$49</f>
        <v>150.0</v>
      </c>
    </row>
    <row r="33" spans="1:48">
      <c r="A33" s="19" t="s">
        <v>243</v>
      </c>
      <c r="B33" s="12" t="s">
        <v>49</v>
      </c>
      <c r="C33" s="14" t="s">
        <v>244</v>
      </c>
      <c r="D33" s="20">
        <f>SUM(D30,D31,D32)</f>
        <v>1950.0</v>
      </c>
      <c r="E33" s="20">
        <f>SUM(E30,E31,E32)</f>
        <v>1950.0</v>
      </c>
      <c r="F33" s="20">
        <f>SUM(F30,F31,F32)</f>
        <v>1950.0</v>
      </c>
      <c r="G33" s="20">
        <f>SUM(G30,G31,G32)</f>
        <v>7750.0</v>
      </c>
      <c r="H33" s="20">
        <f>SUM(H30,H31,H32)</f>
        <v>7750.0</v>
      </c>
      <c r="I33" s="20">
        <f>SUM(I30,I31,I32)</f>
        <v>8450.0</v>
      </c>
      <c r="J33" s="20">
        <f>SUM(J30,J31,J32)</f>
        <v>8450.0</v>
      </c>
      <c r="K33" s="20">
        <f>SUM(K30,K31,K32)</f>
        <v>8450.0</v>
      </c>
      <c r="L33" s="20">
        <f>SUM(L30,L31,L32)</f>
        <v>9250.0</v>
      </c>
      <c r="M33" s="20">
        <f>SUM(M30,M31,M32)</f>
        <v>9250.0</v>
      </c>
      <c r="N33" s="20">
        <f>SUM(N30,N31,N32)</f>
        <v>9250.0</v>
      </c>
      <c r="O33" s="20">
        <f>SUM(O30,O31,O32)</f>
        <v>9250.0</v>
      </c>
      <c r="P33" s="20">
        <f>SUM(P30,P31,P32)</f>
        <v>9250.0</v>
      </c>
      <c r="Q33" s="20">
        <f>SUM(Q30,Q31,Q32)</f>
        <v>9250.0</v>
      </c>
      <c r="R33" s="20">
        <f>SUM(R30,R31,R32)</f>
        <v>9250.0</v>
      </c>
      <c r="S33" s="20">
        <f>SUM(S30,S31,S32)</f>
        <v>9813.0</v>
      </c>
      <c r="T33" s="20">
        <f>SUM(T30,T31,T32)</f>
        <v>9813.0</v>
      </c>
      <c r="U33" s="20">
        <f>SUM(U30,U31,U32)</f>
        <v>9813.0</v>
      </c>
      <c r="V33" s="20">
        <f>SUM(V30,V31,V32)</f>
        <v>9813.0</v>
      </c>
      <c r="W33" s="20">
        <f>SUM(W30,W31,W32)</f>
        <v>9813.0</v>
      </c>
      <c r="X33" s="20">
        <f>SUM(X30,X31,X32)</f>
        <v>9813.0</v>
      </c>
      <c r="Y33" s="20">
        <f>SUM(Y30,Y31,Y32)</f>
        <v>9813.0</v>
      </c>
      <c r="Z33" s="20">
        <f>SUM(Z30,Z31,Z32)</f>
        <v>9813.0</v>
      </c>
      <c r="AA33" s="20">
        <f>SUM(AA30,AA31,AA32)</f>
        <v>9813.0</v>
      </c>
      <c r="AB33" s="20">
        <f>SUM(AB30,AB31,AB32)</f>
        <v>9813.0</v>
      </c>
      <c r="AC33" s="20">
        <f>SUM(AC30,AC31,AC32)</f>
        <v>9813.0</v>
      </c>
      <c r="AD33" s="20">
        <f>SUM(AD30,AD31,AD32)</f>
        <v>9813.0</v>
      </c>
      <c r="AE33" s="20">
        <f>SUM(AE30,AE31,AE32)</f>
        <v>9813.0</v>
      </c>
      <c r="AF33" s="20">
        <f>SUM(AF30,AF31,AF32)</f>
        <v>9813.0</v>
      </c>
      <c r="AG33" s="20">
        <f>SUM(AG30,AG31,AG32)</f>
        <v>9813.0</v>
      </c>
      <c r="AH33" s="20">
        <f>SUM(AH30,AH31,AH32)</f>
        <v>9813.0</v>
      </c>
      <c r="AI33" s="20">
        <f>SUM(AI30,AI31,AI32)</f>
        <v>9813.0</v>
      </c>
      <c r="AJ33" s="20">
        <f>SUM(AJ30,AJ31,AJ32)</f>
        <v>9813.0</v>
      </c>
      <c r="AK33" s="20">
        <f>SUM(AK30,AK31,AK32)</f>
        <v>9813.0</v>
      </c>
      <c r="AL33" s="20">
        <f>SUM(AL30,AL31,AL32)</f>
        <v>9813.0</v>
      </c>
      <c r="AM33" s="20">
        <f>SUM(AM30,AM31,AM32)</f>
        <v>9813.0</v>
      </c>
      <c r="AN33" s="20">
        <f>SUM(AN30,AN31,AN32)</f>
        <v>9813.0</v>
      </c>
      <c r="AO33" s="20">
        <f>SUM(AO30,AO31,AO32)</f>
        <v>9813.0</v>
      </c>
      <c r="AP33" s="20">
        <f>SUM(AP30,AP31,AP32)</f>
        <v>9813.0</v>
      </c>
      <c r="AQ33" s="20">
        <f>SUM(AQ30,AQ31,AQ32)</f>
        <v>9813.0</v>
      </c>
      <c r="AR33" s="20">
        <f>SUM(AR30,AR31,AR32)</f>
        <v>9813.0</v>
      </c>
      <c r="AS33" s="20">
        <f>SUM(AS30,AS31,AS32)</f>
        <v>9813.0</v>
      </c>
      <c r="AT33" s="20">
        <f>SUM(AT30,AT31,AT32)</f>
        <v>9813.0</v>
      </c>
      <c r="AU33" s="20">
        <f>SUM(AU30,AU31,AU32)</f>
        <v>9813.0</v>
      </c>
    </row>
    <row r="34" spans="1:48">
      <c r="A34" s="5" t="s">
        <v>245</v>
      </c>
      <c r="B34" s="12" t="s">
        <v>221</v>
      </c>
      <c r="C34" s="14" t="s">
        <v>246</v>
      </c>
      <c r="D34" s="22">
        <f>IFERROR(D33/D15,0)</f>
        <v>0.06233134576252333</v>
      </c>
      <c r="E34" s="22">
        <f>IFERROR(E33/E15,0)</f>
        <v>0.06193109067917267</v>
      </c>
      <c r="F34" s="22">
        <f>IFERROR(F33/F15,0)</f>
        <v>0.06152584945676042</v>
      </c>
      <c r="G34" s="22">
        <f>IFERROR(G33/G15,0)</f>
        <v>0.24289553951578327</v>
      </c>
      <c r="H34" s="22">
        <f>IFERROR(H33/H15,0)</f>
        <v>0.2412457030000477</v>
      </c>
      <c r="I34" s="22">
        <f>IFERROR(I33/I15,0)</f>
        <v>0.20145416939035915</v>
      </c>
      <c r="J34" s="22">
        <f>IFERROR(J33/J15,0)</f>
        <v>0.18300930973064264</v>
      </c>
      <c r="K34" s="22">
        <f>IFERROR(K33/K15,0)</f>
        <v>0.16788124438009258</v>
      </c>
      <c r="L34" s="22">
        <f>IFERROR(L33/L15,0)</f>
        <v>0.15031961156193568</v>
      </c>
      <c r="M34" s="22">
        <f>IFERROR(M33/M15,0)</f>
        <v>0.14204471075445171</v>
      </c>
      <c r="N34" s="22">
        <f>IFERROR(N33/N15,0)</f>
        <v>0.1347305389221557</v>
      </c>
      <c r="O34" s="22">
        <f>IFERROR(O33/O15,0)</f>
        <v>0.13473053892215567</v>
      </c>
      <c r="P34" s="22">
        <f>IFERROR(P33/P15,0)</f>
        <v>0.1347305389221557</v>
      </c>
      <c r="Q34" s="22">
        <f>IFERROR(Q33/Q15,0)</f>
        <v>0.13473053892215567</v>
      </c>
      <c r="R34" s="22">
        <f>IFERROR(R33/R15,0)</f>
        <v>0.13473053892215567</v>
      </c>
      <c r="S34" s="22">
        <f>IFERROR(S33/S15,0)</f>
        <v>0.13099525363393652</v>
      </c>
      <c r="T34" s="22">
        <f>IFERROR(T33/T15,0)</f>
        <v>0.13099525363393652</v>
      </c>
      <c r="U34" s="22">
        <f>IFERROR(U33/U15,0)</f>
        <v>0.13099525363393652</v>
      </c>
      <c r="V34" s="22">
        <f>IFERROR(V33/V15,0)</f>
        <v>0.13099525363393652</v>
      </c>
      <c r="W34" s="22">
        <f>IFERROR(W33/W15,0)</f>
        <v>0.13099525363393652</v>
      </c>
      <c r="X34" s="22">
        <f>IFERROR(X33/X15,0)</f>
        <v>0.13099525363393652</v>
      </c>
      <c r="Y34" s="22">
        <f>IFERROR(Y33/Y15,0)</f>
        <v>0.13099525363393652</v>
      </c>
      <c r="Z34" s="22">
        <f>IFERROR(Z33/Z15,0)</f>
        <v>0.13099525363393652</v>
      </c>
      <c r="AA34" s="22">
        <f>IFERROR(AA33/AA15,0)</f>
        <v>0.13099525363393652</v>
      </c>
      <c r="AB34" s="22">
        <f>IFERROR(AB33/AB15,0)</f>
        <v>0.13099525363393652</v>
      </c>
      <c r="AC34" s="22">
        <f>IFERROR(AC33/AC15,0)</f>
        <v>0.13099525363393652</v>
      </c>
      <c r="AD34" s="22">
        <f>IFERROR(AD33/AD15,0)</f>
        <v>0.13099525363393652</v>
      </c>
      <c r="AE34" s="22">
        <f>IFERROR(AE33/AE15,0)</f>
        <v>0.13099525363393652</v>
      </c>
      <c r="AF34" s="22">
        <f>IFERROR(AF33/AF15,0)</f>
        <v>0.13099525363393652</v>
      </c>
      <c r="AG34" s="22">
        <f>IFERROR(AG33/AG15,0)</f>
        <v>0.13099525363393652</v>
      </c>
      <c r="AH34" s="22">
        <f>IFERROR(AH33/AH15,0)</f>
        <v>0.13099525363393652</v>
      </c>
      <c r="AI34" s="22">
        <f>IFERROR(AI33/AI15,0)</f>
        <v>0.13099525363393652</v>
      </c>
      <c r="AJ34" s="22">
        <f>IFERROR(AJ33/AJ15,0)</f>
        <v>0.13099525363393652</v>
      </c>
      <c r="AK34" s="22">
        <f>IFERROR(AK33/AK15,0)</f>
        <v>0.13099525363393652</v>
      </c>
      <c r="AL34" s="22">
        <f>IFERROR(AL33/AL15,0)</f>
        <v>0.13099525363393652</v>
      </c>
      <c r="AM34" s="22">
        <f>IFERROR(AM33/AM15,0)</f>
        <v>0.13099525363393652</v>
      </c>
      <c r="AN34" s="22">
        <f>IFERROR(AN33/AN15,0)</f>
        <v>0.1309952536339365</v>
      </c>
      <c r="AO34" s="22">
        <f>IFERROR(AO33/AO15,0)</f>
        <v>0.13099525363393652</v>
      </c>
      <c r="AP34" s="22">
        <f>IFERROR(AP33/AP15,0)</f>
        <v>0.13099525363393652</v>
      </c>
      <c r="AQ34" s="22">
        <f>IFERROR(AQ33/AQ15,0)</f>
        <v>0.13099525363393652</v>
      </c>
      <c r="AR34" s="22">
        <f>IFERROR(AR33/AR15,0)</f>
        <v>0.13099525363393652</v>
      </c>
      <c r="AS34" s="22">
        <f>IFERROR(AS33/AS15,0)</f>
        <v>0.13099525363393652</v>
      </c>
      <c r="AT34" s="22">
        <f>IFERROR(AT33/AT15,0)</f>
        <v>0.13099525363393652</v>
      </c>
      <c r="AU34" s="22">
        <f>IFERROR(AU33/AU15,0)</f>
        <v>0.13099525363393652</v>
      </c>
    </row>
    <row r="35" spans="1:48">
      <c r="A35" s="5" t="s">
        <v>247</v>
      </c>
      <c r="B35" s="12" t="s">
        <v>221</v>
      </c>
      <c r="C35" s="14" t="s">
        <v>248</v>
      </c>
      <c r="D35" s="22">
        <f>IFERROR(D30/D10,0)</f>
        <v>0.2199300622402076</v>
      </c>
      <c r="E35" s="22">
        <f>IFERROR(E30/E10,0)</f>
        <v>0.21462788223186857</v>
      </c>
      <c r="F35" s="22">
        <f>IFERROR(F30/F10,0)</f>
        <v>0.20944856042308818</v>
      </c>
      <c r="G35" s="22">
        <f>IFERROR(G30/G10,0)</f>
        <v>0.29522909344332104</v>
      </c>
      <c r="H35" s="22">
        <f>IFERROR(H30/H10,0)</f>
        <v>0.288091052043843</v>
      </c>
      <c r="I35" s="22">
        <f>IFERROR(I30/I10,0)</f>
        <v>0.17511253760696674</v>
      </c>
      <c r="J35" s="22">
        <f>IFERROR(J30/J10,0)</f>
        <v>0.14302732394451353</v>
      </c>
      <c r="K35" s="22">
        <f>IFERROR(K30/K10,0)</f>
        <v>0.1211756304871579</v>
      </c>
      <c r="L35" s="22">
        <f>IFERROR(L30/L10,0)</f>
        <v>0.10667207782943942</v>
      </c>
      <c r="M35" s="22">
        <f>IFERROR(M30/M10,0)</f>
        <v>0.09757179269636934</v>
      </c>
      <c r="N35" s="22">
        <f>IFERROR(N30/N10,0)</f>
        <v>0.09000000000000001</v>
      </c>
      <c r="O35" s="22">
        <f>IFERROR(O30/O10,0)</f>
        <v>0.09</v>
      </c>
      <c r="P35" s="22">
        <f>IFERROR(P30/P10,0)</f>
        <v>0.09000000000000001</v>
      </c>
      <c r="Q35" s="22">
        <f>IFERROR(Q30/Q10,0)</f>
        <v>0.09</v>
      </c>
      <c r="R35" s="22">
        <f>IFERROR(R30/R10,0)</f>
        <v>0.09</v>
      </c>
      <c r="S35" s="22">
        <f>IFERROR(S30/S10,0)</f>
        <v>0.09</v>
      </c>
      <c r="T35" s="22">
        <f>IFERROR(T30/T10,0)</f>
        <v>0.09</v>
      </c>
      <c r="U35" s="22">
        <f>IFERROR(U30/U10,0)</f>
        <v>0.09</v>
      </c>
      <c r="V35" s="22">
        <f>IFERROR(V30/V10,0)</f>
        <v>0.09</v>
      </c>
      <c r="W35" s="22">
        <f>IFERROR(W30/W10,0)</f>
        <v>0.09</v>
      </c>
      <c r="X35" s="22">
        <f>IFERROR(X30/X10,0)</f>
        <v>0.09</v>
      </c>
      <c r="Y35" s="22">
        <f>IFERROR(Y30/Y10,0)</f>
        <v>0.09</v>
      </c>
      <c r="Z35" s="22">
        <f>IFERROR(Z30/Z10,0)</f>
        <v>0.09</v>
      </c>
      <c r="AA35" s="22">
        <f>IFERROR(AA30/AA10,0)</f>
        <v>0.09</v>
      </c>
      <c r="AB35" s="22">
        <f>IFERROR(AB30/AB10,0)</f>
        <v>0.09</v>
      </c>
      <c r="AC35" s="22">
        <f>IFERROR(AC30/AC10,0)</f>
        <v>0.09</v>
      </c>
      <c r="AD35" s="22">
        <f>IFERROR(AD30/AD10,0)</f>
        <v>0.09</v>
      </c>
      <c r="AE35" s="22">
        <f>IFERROR(AE30/AE10,0)</f>
        <v>0.09</v>
      </c>
      <c r="AF35" s="22">
        <f>IFERROR(AF30/AF10,0)</f>
        <v>0.09</v>
      </c>
      <c r="AG35" s="22">
        <f>IFERROR(AG30/AG10,0)</f>
        <v>0.09</v>
      </c>
      <c r="AH35" s="22">
        <f>IFERROR(AH30/AH10,0)</f>
        <v>0.09</v>
      </c>
      <c r="AI35" s="22">
        <f>IFERROR(AI30/AI10,0)</f>
        <v>0.09</v>
      </c>
      <c r="AJ35" s="22">
        <f>IFERROR(AJ30/AJ10,0)</f>
        <v>0.09</v>
      </c>
      <c r="AK35" s="22">
        <f>IFERROR(AK30/AK10,0)</f>
        <v>0.09</v>
      </c>
      <c r="AL35" s="22">
        <f>IFERROR(AL30/AL10,0)</f>
        <v>0.09</v>
      </c>
      <c r="AM35" s="22">
        <f>IFERROR(AM30/AM10,0)</f>
        <v>0.09</v>
      </c>
      <c r="AN35" s="22">
        <f>IFERROR(AN30/AN10,0)</f>
        <v>0.09</v>
      </c>
      <c r="AO35" s="22">
        <f>IFERROR(AO30/AO10,0)</f>
        <v>0.09</v>
      </c>
      <c r="AP35" s="22">
        <f>IFERROR(AP30/AP10,0)</f>
        <v>0.09</v>
      </c>
      <c r="AQ35" s="22">
        <f>IFERROR(AQ30/AQ10,0)</f>
        <v>0.09</v>
      </c>
      <c r="AR35" s="22">
        <f>IFERROR(AR30/AR10,0)</f>
        <v>0.09</v>
      </c>
      <c r="AS35" s="22">
        <f>IFERROR(AS30/AS10,0)</f>
        <v>0.09</v>
      </c>
      <c r="AT35" s="22">
        <f>IFERROR(AT30/AT10,0)</f>
        <v>0.09</v>
      </c>
      <c r="AU35" s="22">
        <f>IFERROR(AU30/AU10,0)</f>
        <v>0.09</v>
      </c>
    </row>
    <row r="36" spans="1:48">
      <c r="A36" s="5" t="s">
        <v>249</v>
      </c>
      <c r="B36" s="12" t="s">
        <v>49</v>
      </c>
      <c r="C36" s="14" t="s">
        <v>250</v>
      </c>
      <c r="D36" s="21">
        <f>D30/'Inputs'!$F$24</f>
        <v>20000.0</v>
      </c>
      <c r="E36" s="21">
        <f>E30/'Inputs'!$F$24</f>
        <v>20000.0</v>
      </c>
      <c r="F36" s="21">
        <f>F30/'Inputs'!$F$24</f>
        <v>20000.0</v>
      </c>
      <c r="G36" s="21">
        <f>G30/'Inputs'!$F$24</f>
        <v>28888.88888888889</v>
      </c>
      <c r="H36" s="21">
        <f>H30/'Inputs'!$F$24</f>
        <v>28888.88888888889</v>
      </c>
      <c r="I36" s="21">
        <f>I30/'Inputs'!$F$24</f>
        <v>36666.66666666667</v>
      </c>
      <c r="J36" s="21">
        <f>J30/'Inputs'!$F$24</f>
        <v>36666.66666666667</v>
      </c>
      <c r="K36" s="21">
        <f>K30/'Inputs'!$F$24</f>
        <v>36666.66666666667</v>
      </c>
      <c r="L36" s="21">
        <f>L30/'Inputs'!$F$24</f>
        <v>45555.555555555555</v>
      </c>
      <c r="M36" s="21">
        <f>M30/'Inputs'!$F$24</f>
        <v>45555.555555555555</v>
      </c>
      <c r="N36" s="21">
        <f>N30/'Inputs'!$F$24</f>
        <v>45555.555555555555</v>
      </c>
      <c r="O36" s="21">
        <f>O30/'Inputs'!$F$24</f>
        <v>45555.555555555555</v>
      </c>
      <c r="P36" s="21">
        <f>P30/'Inputs'!$F$24</f>
        <v>45555.555555555555</v>
      </c>
      <c r="Q36" s="21">
        <f>Q30/'Inputs'!$F$24</f>
        <v>45555.555555555555</v>
      </c>
      <c r="R36" s="21">
        <f>R30/'Inputs'!$F$24</f>
        <v>45555.555555555555</v>
      </c>
      <c r="S36" s="21">
        <f>S30/'Inputs'!$F$24</f>
        <v>51811.11111111111</v>
      </c>
      <c r="T36" s="21">
        <f>T30/'Inputs'!$F$24</f>
        <v>51811.11111111111</v>
      </c>
      <c r="U36" s="21">
        <f>U30/'Inputs'!$F$24</f>
        <v>51811.11111111111</v>
      </c>
      <c r="V36" s="21">
        <f>V30/'Inputs'!$F$24</f>
        <v>51811.11111111111</v>
      </c>
      <c r="W36" s="21">
        <f>W30/'Inputs'!$F$24</f>
        <v>51811.11111111111</v>
      </c>
      <c r="X36" s="21">
        <f>X30/'Inputs'!$F$24</f>
        <v>51811.11111111111</v>
      </c>
      <c r="Y36" s="21">
        <f>Y30/'Inputs'!$F$24</f>
        <v>51811.11111111111</v>
      </c>
      <c r="Z36" s="21">
        <f>Z30/'Inputs'!$F$24</f>
        <v>51811.11111111111</v>
      </c>
      <c r="AA36" s="21">
        <f>AA30/'Inputs'!$F$24</f>
        <v>51811.11111111111</v>
      </c>
      <c r="AB36" s="21">
        <f>AB30/'Inputs'!$F$24</f>
        <v>51811.11111111111</v>
      </c>
      <c r="AC36" s="21">
        <f>AC30/'Inputs'!$F$24</f>
        <v>51811.11111111111</v>
      </c>
      <c r="AD36" s="21">
        <f>AD30/'Inputs'!$F$24</f>
        <v>51811.11111111111</v>
      </c>
      <c r="AE36" s="21">
        <f>AE30/'Inputs'!$F$24</f>
        <v>51811.11111111111</v>
      </c>
      <c r="AF36" s="21">
        <f>AF30/'Inputs'!$F$24</f>
        <v>51811.11111111111</v>
      </c>
      <c r="AG36" s="21">
        <f>AG30/'Inputs'!$F$24</f>
        <v>51811.11111111111</v>
      </c>
      <c r="AH36" s="21">
        <f>AH30/'Inputs'!$F$24</f>
        <v>51811.11111111111</v>
      </c>
      <c r="AI36" s="21">
        <f>AI30/'Inputs'!$F$24</f>
        <v>51811.11111111111</v>
      </c>
      <c r="AJ36" s="21">
        <f>AJ30/'Inputs'!$F$24</f>
        <v>51811.11111111111</v>
      </c>
      <c r="AK36" s="21">
        <f>AK30/'Inputs'!$F$24</f>
        <v>51811.11111111111</v>
      </c>
      <c r="AL36" s="21">
        <f>AL30/'Inputs'!$F$24</f>
        <v>51811.11111111111</v>
      </c>
      <c r="AM36" s="21">
        <f>AM30/'Inputs'!$F$24</f>
        <v>51811.11111111111</v>
      </c>
      <c r="AN36" s="21">
        <f>AN30/'Inputs'!$F$24</f>
        <v>51811.11111111111</v>
      </c>
      <c r="AO36" s="21">
        <f>AO30/'Inputs'!$F$24</f>
        <v>51811.11111111111</v>
      </c>
      <c r="AP36" s="21">
        <f>AP30/'Inputs'!$F$24</f>
        <v>51811.11111111111</v>
      </c>
      <c r="AQ36" s="21">
        <f>AQ30/'Inputs'!$F$24</f>
        <v>51811.11111111111</v>
      </c>
      <c r="AR36" s="21">
        <f>AR30/'Inputs'!$F$24</f>
        <v>51811.11111111111</v>
      </c>
      <c r="AS36" s="21">
        <f>AS30/'Inputs'!$F$24</f>
        <v>51811.11111111111</v>
      </c>
      <c r="AT36" s="21">
        <f>AT30/'Inputs'!$F$24</f>
        <v>51811.11111111111</v>
      </c>
      <c r="AU36" s="21">
        <f>AU30/'Inputs'!$F$24</f>
        <v>51811.11111111111</v>
      </c>
    </row>
    <row r="37" spans="1:48">
      <c r="A37" s="5" t="s">
        <v>251</v>
      </c>
      <c r="B37" s="12" t="s">
        <v>49</v>
      </c>
      <c r="C37" s="14" t="s">
        <v>252</v>
      </c>
      <c r="D37" s="21">
        <f>D36-D10</f>
        <v>11815.58</v>
      </c>
      <c r="E37" s="21">
        <f>E36-E10</f>
        <v>11613.391599999999</v>
      </c>
      <c r="F37" s="21">
        <f>F36-F10</f>
        <v>11406.004432</v>
      </c>
      <c r="G37" s="21">
        <f>G36-G10</f>
        <v>20082.16875952889</v>
      </c>
      <c r="H37" s="21">
        <f>H36-H10</f>
        <v>19863.96436744169</v>
      </c>
      <c r="I37" s="21">
        <f>I36-I10</f>
        <v>17821.642517643595</v>
      </c>
      <c r="J37" s="21">
        <f>J36-J10</f>
        <v>13594.15220586188</v>
      </c>
      <c r="K37" s="21">
        <f>K36-K10</f>
        <v>9433.468153622984</v>
      </c>
      <c r="L37" s="21">
        <f>L36-L10</f>
        <v>7120.0053776018685</v>
      </c>
      <c r="M37" s="21">
        <f>M36-M10</f>
        <v>3535.214566652503</v>
      </c>
      <c r="N37" s="21">
        <f>N36-N10</f>
        <v>7.275957614183426e-12</v>
      </c>
      <c r="O37" s="21">
        <f>O36-O10</f>
        <v>0.0</v>
      </c>
      <c r="P37" s="21">
        <f>P36-P10</f>
        <v>7.275957614183426e-12</v>
      </c>
      <c r="Q37" s="21">
        <f>Q36-Q10</f>
        <v>0.0</v>
      </c>
      <c r="R37" s="21">
        <f>R36-R10</f>
        <v>0.0</v>
      </c>
      <c r="S37" s="21">
        <f>S36-S10</f>
        <v>0.0</v>
      </c>
      <c r="T37" s="21">
        <f>T36-T10</f>
        <v>0.0</v>
      </c>
      <c r="U37" s="21">
        <f>U36-U10</f>
        <v>0.0</v>
      </c>
      <c r="V37" s="21">
        <f>V36-V10</f>
        <v>0.0</v>
      </c>
      <c r="W37" s="21">
        <f>W36-W10</f>
        <v>0.0</v>
      </c>
      <c r="X37" s="21">
        <f>X36-X10</f>
        <v>0.0</v>
      </c>
      <c r="Y37" s="21">
        <f>Y36-Y10</f>
        <v>0.0</v>
      </c>
      <c r="Z37" s="21">
        <f>Z36-Z10</f>
        <v>0.0</v>
      </c>
      <c r="AA37" s="21">
        <f>AA36-AA10</f>
        <v>0.0</v>
      </c>
      <c r="AB37" s="21">
        <f>AB36-AB10</f>
        <v>0.0</v>
      </c>
      <c r="AC37" s="21">
        <f>AC36-AC10</f>
        <v>0.0</v>
      </c>
      <c r="AD37" s="21">
        <f>AD36-AD10</f>
        <v>0.0</v>
      </c>
      <c r="AE37" s="21">
        <f>AE36-AE10</f>
        <v>0.0</v>
      </c>
      <c r="AF37" s="21">
        <f>AF36-AF10</f>
        <v>0.0</v>
      </c>
      <c r="AG37" s="21">
        <f>AG36-AG10</f>
        <v>0.0</v>
      </c>
      <c r="AH37" s="21">
        <f>AH36-AH10</f>
        <v>0.0</v>
      </c>
      <c r="AI37" s="21">
        <f>AI36-AI10</f>
        <v>0.0</v>
      </c>
      <c r="AJ37" s="21">
        <f>AJ36-AJ10</f>
        <v>0.0</v>
      </c>
      <c r="AK37" s="21">
        <f>AK36-AK10</f>
        <v>0.0</v>
      </c>
      <c r="AL37" s="21">
        <f>AL36-AL10</f>
        <v>0.0</v>
      </c>
      <c r="AM37" s="21">
        <f>AM36-AM10</f>
        <v>0.0</v>
      </c>
      <c r="AN37" s="21">
        <f>AN36-AN10</f>
        <v>-7.275957614183426e-12</v>
      </c>
      <c r="AO37" s="21">
        <f>AO36-AO10</f>
        <v>0.0</v>
      </c>
      <c r="AP37" s="21">
        <f>AP36-AP10</f>
        <v>0.0</v>
      </c>
      <c r="AQ37" s="21">
        <f>AQ36-AQ10</f>
        <v>0.0</v>
      </c>
      <c r="AR37" s="21">
        <f>AR36-AR10</f>
        <v>0.0</v>
      </c>
      <c r="AS37" s="21">
        <f>AS36-AS10</f>
        <v>0.0</v>
      </c>
      <c r="AT37" s="21">
        <f>AT36-AT10</f>
        <v>0.0</v>
      </c>
      <c r="AU37" s="21">
        <f>AU36-AU10</f>
        <v>0.0</v>
      </c>
    </row>
    <row r="38" spans="1:48">
      <c r="A38" s="5" t="s">
        <v>253</v>
      </c>
      <c r="B38" s="12" t="s">
        <v>254</v>
      </c>
      <c r="C38" s="14" t="s">
        <v>255</v>
      </c>
      <c r="D38" s="23">
        <f>MAX(0,D36-D7-D8)/('Inputs'!$F$25*'Inputs'!$F$26)</f>
        <v>22.377992424242425</v>
      </c>
      <c r="E38" s="23">
        <f>MAX(0,E36-E7-E8)/('Inputs'!$F$25*'Inputs'!$F$26)</f>
        <v>21.995059848484846</v>
      </c>
      <c r="F38" s="23">
        <f>MAX(0,F36-F7-F8)/('Inputs'!$F$25*'Inputs'!$F$26)</f>
        <v>21.60228112121212</v>
      </c>
      <c r="G38" s="23">
        <f>MAX(0,G36-G7-G8)/('Inputs'!$F$25*'Inputs'!$F$26)</f>
        <v>38.03441052941078</v>
      </c>
      <c r="H38" s="23">
        <f>MAX(0,H36-H7-H8)/('Inputs'!$F$25*'Inputs'!$F$26)</f>
        <v>37.62114463530623</v>
      </c>
      <c r="I38" s="23">
        <f>MAX(0,I36-I7-I8)/('Inputs'!$F$25*'Inputs'!$F$26)</f>
        <v>51.92786281364683</v>
      </c>
      <c r="J38" s="23">
        <f>MAX(0,J36-J7-J8)/('Inputs'!$F$25*'Inputs'!$F$26)</f>
        <v>51.49300077977984</v>
      </c>
      <c r="K38" s="23">
        <f>MAX(0,K36-K7-K8)/('Inputs'!$F$25*'Inputs'!$F$26)</f>
        <v>51.04690559319797</v>
      </c>
      <c r="L38" s="23">
        <f>MAX(0,L36-L7-L8)/('Inputs'!$F$25*'Inputs'!$F$26)</f>
        <v>67.42429334850264</v>
      </c>
      <c r="M38" s="23">
        <f>MAX(0,M36-M7-M8)/('Inputs'!$F$25*'Inputs'!$F$26)</f>
        <v>66.95482133811561</v>
      </c>
      <c r="N38" s="23">
        <f>MAX(0,N36-N7-N8)/('Inputs'!$F$25*'Inputs'!$F$26)</f>
        <v>66.4731888279678</v>
      </c>
      <c r="O38" s="23">
        <f>MAX(0,O36-O7-O8)/('Inputs'!$F$25*'Inputs'!$F$26)</f>
        <v>65.97906947627745</v>
      </c>
      <c r="P38" s="23">
        <f>MAX(0,P36-P7-P8)/('Inputs'!$F$25*'Inputs'!$F$26)</f>
        <v>65.47212792047344</v>
      </c>
      <c r="Q38" s="23">
        <f>MAX(0,Q36-Q7-Q8)/('Inputs'!$F$25*'Inputs'!$F$26)</f>
        <v>64.95201952196115</v>
      </c>
      <c r="R38" s="23">
        <f>MAX(0,R36-R7-R8)/('Inputs'!$F$25*'Inputs'!$F$26)</f>
        <v>64.41839010353864</v>
      </c>
      <c r="S38" s="23">
        <f>MAX(0,S36-S7-S8)/('Inputs'!$F$25*'Inputs'!$F$26)</f>
        <v>75.71851877689258</v>
      </c>
      <c r="T38" s="23">
        <f>MAX(0,T36-T7-T8)/('Inputs'!$F$25*'Inputs'!$F$26)</f>
        <v>75.15674527409455</v>
      </c>
      <c r="U38" s="23">
        <f>MAX(0,U36-U7-U8)/('Inputs'!$F$25*'Inputs'!$F$26)</f>
        <v>74.58032824751673</v>
      </c>
      <c r="V38" s="23">
        <f>MAX(0,V36-V7-V8)/('Inputs'!$F$25*'Inputs'!$F$26)</f>
        <v>73.98887258507183</v>
      </c>
      <c r="W38" s="23">
        <f>MAX(0,W36-W7-W8)/('Inputs'!$F$25*'Inputs'!$F$26)</f>
        <v>73.38197220518244</v>
      </c>
      <c r="X38" s="23">
        <f>MAX(0,X36-X7-X8)/('Inputs'!$F$25*'Inputs'!$F$26)</f>
        <v>72.75920974537378</v>
      </c>
      <c r="Y38" s="23">
        <f>MAX(0,Y36-Y7-Y8)/('Inputs'!$F$25*'Inputs'!$F$26)</f>
        <v>72.12015624187786</v>
      </c>
      <c r="Z38" s="23">
        <f>MAX(0,Z36-Z7-Z8)/('Inputs'!$F$25*'Inputs'!$F$26)</f>
        <v>71.46437079998618</v>
      </c>
      <c r="AA38" s="23">
        <f>MAX(0,AA36-AA7-AA8)/('Inputs'!$F$25*'Inputs'!$F$26)</f>
        <v>70.79140025488105</v>
      </c>
      <c r="AB38" s="23">
        <f>MAX(0,AB36-AB7-AB8)/('Inputs'!$F$25*'Inputs'!$F$26)</f>
        <v>70.10077882266694</v>
      </c>
      <c r="AC38" s="23">
        <f>MAX(0,AC36-AC7-AC8)/('Inputs'!$F$25*'Inputs'!$F$26)</f>
        <v>69.39202774131546</v>
      </c>
      <c r="AD38" s="23">
        <f>MAX(0,AD36-AD7-AD8)/('Inputs'!$F$25*'Inputs'!$F$26)</f>
        <v>68.66465490122906</v>
      </c>
      <c r="AE38" s="23">
        <f>MAX(0,AE36-AE7-AE8)/('Inputs'!$F$25*'Inputs'!$F$26)</f>
        <v>67.91815446511981</v>
      </c>
      <c r="AF38" s="23">
        <f>MAX(0,AF36-AF7-AF8)/('Inputs'!$F$25*'Inputs'!$F$26)</f>
        <v>67.15200647689062</v>
      </c>
      <c r="AG38" s="23">
        <f>MAX(0,AG36-AG7-AG8)/('Inputs'!$F$25*'Inputs'!$F$26)</f>
        <v>66.36567645919718</v>
      </c>
      <c r="AH38" s="23">
        <f>MAX(0,AH36-AH7-AH8)/('Inputs'!$F$25*'Inputs'!$F$26)</f>
        <v>65.55861499935918</v>
      </c>
      <c r="AI38" s="23">
        <f>MAX(0,AI36-AI7-AI8)/('Inputs'!$F$25*'Inputs'!$F$26)</f>
        <v>64.73025732328003</v>
      </c>
      <c r="AJ38" s="23">
        <f>MAX(0,AJ36-AJ7-AJ8)/('Inputs'!$F$25*'Inputs'!$F$26)</f>
        <v>63.88002285702356</v>
      </c>
      <c r="AK38" s="23">
        <f>MAX(0,AK36-AK7-AK8)/('Inputs'!$F$25*'Inputs'!$F$26)</f>
        <v>63.00731477568658</v>
      </c>
      <c r="AL38" s="23">
        <f>MAX(0,AL36-AL7-AL8)/('Inputs'!$F$25*'Inputs'!$F$26)</f>
        <v>62.11151953919479</v>
      </c>
      <c r="AM38" s="23">
        <f>MAX(0,AM36-AM7-AM8)/('Inputs'!$F$25*'Inputs'!$F$26)</f>
        <v>61.192006414639266</v>
      </c>
      <c r="AN38" s="23">
        <f>MAX(0,AN36-AN7-AN8)/('Inputs'!$F$25*'Inputs'!$F$26)</f>
        <v>60.248126984758706</v>
      </c>
      <c r="AO38" s="23">
        <f>MAX(0,AO36-AO7-AO8)/('Inputs'!$F$25*'Inputs'!$F$26)</f>
        <v>59.279214642161584</v>
      </c>
      <c r="AP38" s="23">
        <f>MAX(0,AP36-AP7-AP8)/('Inputs'!$F$25*'Inputs'!$F$26)</f>
        <v>58.284584068870025</v>
      </c>
      <c r="AQ38" s="23">
        <f>MAX(0,AQ36-AQ7-AQ8)/('Inputs'!$F$25*'Inputs'!$F$26)</f>
        <v>57.26353070075486</v>
      </c>
      <c r="AR38" s="23">
        <f>MAX(0,AR36-AR7-AR8)/('Inputs'!$F$25*'Inputs'!$F$26)</f>
        <v>56.21533017641888</v>
      </c>
      <c r="AS38" s="23">
        <f>MAX(0,AS36-AS7-AS8)/('Inputs'!$F$25*'Inputs'!$F$26)</f>
        <v>55.13923777007189</v>
      </c>
      <c r="AT38" s="23">
        <f>MAX(0,AT36-AT7-AT8)/('Inputs'!$F$25*'Inputs'!$F$26)</f>
        <v>54.03448780792798</v>
      </c>
      <c r="AU38" s="23">
        <f>MAX(0,AU36-AU7-AU8)/('Inputs'!$F$25*'Inputs'!$F$26)</f>
        <v>52.90029306764109</v>
      </c>
    </row>
    <row r="39" spans="1:48">
      <c r="A39" s="3" t="s">
        <v>197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>
      <c r="A40" s="5" t="s">
        <v>256</v>
      </c>
      <c r="B40" s="12" t="s">
        <v>49</v>
      </c>
      <c r="C40" s="14" t="s">
        <v>257</v>
      </c>
      <c r="D40" s="21">
        <f>'Inputs'!$F$38*(D15-D11)</f>
        <v>650.5325999999999</v>
      </c>
      <c r="E40" s="21">
        <f>'Inputs'!$F$38*(E15-E11)</f>
        <v>656.598252</v>
      </c>
      <c r="F40" s="21">
        <f>'Inputs'!$F$38*(F15-F11)</f>
        <v>662.81986704</v>
      </c>
      <c r="G40" s="21">
        <f>'Inputs'!$F$38*(G15-G11)</f>
        <v>669.2016038808</v>
      </c>
      <c r="H40" s="21">
        <f>'Inputs'!$F$38*(H15-H11)</f>
        <v>675.7477356434159</v>
      </c>
      <c r="I40" s="21">
        <f>'Inputs'!$F$38*(I15-I11)</f>
        <v>970.3507244706923</v>
      </c>
      <c r="J40" s="21">
        <f>'Inputs'!$F$38*(J15-J11)</f>
        <v>1097.1754338241437</v>
      </c>
      <c r="K40" s="21">
        <f>'Inputs'!$F$38*(K15-K11)</f>
        <v>1221.9959553913106</v>
      </c>
      <c r="L40" s="21">
        <f>'Inputs'!$F$38*(L15-L11)</f>
        <v>1558.0665053386106</v>
      </c>
      <c r="M40" s="21">
        <f>'Inputs'!$F$38*(M15-M11)</f>
        <v>1665.6102296670915</v>
      </c>
      <c r="N40" s="21">
        <f>'Inputs'!$F$38*(N15-N11)</f>
        <v>1771.6666666666663</v>
      </c>
      <c r="O40" s="21">
        <f>'Inputs'!$F$38*(O15-O11)</f>
        <v>1771.6666666666667</v>
      </c>
      <c r="P40" s="21">
        <f>'Inputs'!$F$38*(P15-P11)</f>
        <v>1771.6666666666663</v>
      </c>
      <c r="Q40" s="21">
        <f>'Inputs'!$F$38*(Q15-Q11)</f>
        <v>1771.6666666666667</v>
      </c>
      <c r="R40" s="21">
        <f>'Inputs'!$F$38*(R15-R11)</f>
        <v>1771.6666666666667</v>
      </c>
      <c r="S40" s="21">
        <f>'Inputs'!$F$38*(S15-S11)</f>
        <v>1959.3333333333333</v>
      </c>
      <c r="T40" s="21">
        <f>'Inputs'!$F$38*(T15-T11)</f>
        <v>1959.3333333333333</v>
      </c>
      <c r="U40" s="21">
        <f>'Inputs'!$F$38*(U15-U11)</f>
        <v>1959.3333333333333</v>
      </c>
      <c r="V40" s="21">
        <f>'Inputs'!$F$38*(V15-V11)</f>
        <v>1959.3333333333333</v>
      </c>
      <c r="W40" s="21">
        <f>'Inputs'!$F$38*(W15-W11)</f>
        <v>1959.3333333333333</v>
      </c>
      <c r="X40" s="21">
        <f>'Inputs'!$F$38*(X15-X11)</f>
        <v>1959.3333333333333</v>
      </c>
      <c r="Y40" s="21">
        <f>'Inputs'!$F$38*(Y15-Y11)</f>
        <v>1959.3333333333333</v>
      </c>
      <c r="Z40" s="21">
        <f>'Inputs'!$F$38*(Z15-Z11)</f>
        <v>1959.3333333333333</v>
      </c>
      <c r="AA40" s="21">
        <f>'Inputs'!$F$38*(AA15-AA11)</f>
        <v>1959.3333333333333</v>
      </c>
      <c r="AB40" s="21">
        <f>'Inputs'!$F$38*(AB15-AB11)</f>
        <v>1959.3333333333333</v>
      </c>
      <c r="AC40" s="21">
        <f>'Inputs'!$F$38*(AC15-AC11)</f>
        <v>1959.3333333333333</v>
      </c>
      <c r="AD40" s="21">
        <f>'Inputs'!$F$38*(AD15-AD11)</f>
        <v>1959.3333333333333</v>
      </c>
      <c r="AE40" s="21">
        <f>'Inputs'!$F$38*(AE15-AE11)</f>
        <v>1959.3333333333333</v>
      </c>
      <c r="AF40" s="21">
        <f>'Inputs'!$F$38*(AF15-AF11)</f>
        <v>1959.3333333333333</v>
      </c>
      <c r="AG40" s="21">
        <f>'Inputs'!$F$38*(AG15-AG11)</f>
        <v>1959.3333333333333</v>
      </c>
      <c r="AH40" s="21">
        <f>'Inputs'!$F$38*(AH15-AH11)</f>
        <v>1959.3333333333333</v>
      </c>
      <c r="AI40" s="21">
        <f>'Inputs'!$F$38*(AI15-AI11)</f>
        <v>1959.3333333333333</v>
      </c>
      <c r="AJ40" s="21">
        <f>'Inputs'!$F$38*(AJ15-AJ11)</f>
        <v>1959.3333333333333</v>
      </c>
      <c r="AK40" s="21">
        <f>'Inputs'!$F$38*(AK15-AK11)</f>
        <v>1959.3333333333333</v>
      </c>
      <c r="AL40" s="21">
        <f>'Inputs'!$F$38*(AL15-AL11)</f>
        <v>1959.3333333333333</v>
      </c>
      <c r="AM40" s="21">
        <f>'Inputs'!$F$38*(AM15-AM11)</f>
        <v>1959.3333333333333</v>
      </c>
      <c r="AN40" s="21">
        <f>'Inputs'!$F$38*(AN15-AN11)</f>
        <v>1959.3333333333337</v>
      </c>
      <c r="AO40" s="21">
        <f>'Inputs'!$F$38*(AO15-AO11)</f>
        <v>1959.3333333333333</v>
      </c>
      <c r="AP40" s="21">
        <f>'Inputs'!$F$38*(AP15-AP11)</f>
        <v>1959.3333333333333</v>
      </c>
      <c r="AQ40" s="21">
        <f>'Inputs'!$F$38*(AQ15-AQ11)</f>
        <v>1959.3333333333333</v>
      </c>
      <c r="AR40" s="21">
        <f>'Inputs'!$F$38*(AR15-AR11)</f>
        <v>1959.3333333333333</v>
      </c>
      <c r="AS40" s="21">
        <f>'Inputs'!$F$38*(AS15-AS11)</f>
        <v>1959.3333333333333</v>
      </c>
      <c r="AT40" s="21">
        <f>'Inputs'!$F$38*(AT15-AT11)</f>
        <v>1959.3333333333333</v>
      </c>
      <c r="AU40" s="21">
        <f>'Inputs'!$F$38*(AU15-AU11)</f>
        <v>1959.3333333333333</v>
      </c>
    </row>
    <row r="41" spans="1:48">
      <c r="A41" s="5" t="s">
        <v>130</v>
      </c>
      <c r="B41" s="12" t="s">
        <v>49</v>
      </c>
      <c r="C41" s="14" t="s">
        <v>258</v>
      </c>
      <c r="D41" s="21">
        <f>'Inputs'!$F$39*POWER(1+'Inputs'!$F$56,INT(((YEAR(D$5)-YEAR($D$5))*12+MONTH(D$5)-MONTH($D$5))/12))</f>
        <v>1518.26</v>
      </c>
      <c r="E41" s="21">
        <f>'Inputs'!$F$39*POWER(1+'Inputs'!$F$56,INT(((YEAR(E$5)-YEAR($D$5))*12+MONTH(E$5)-MONTH($D$5))/12))</f>
        <v>1518.26</v>
      </c>
      <c r="F41" s="21">
        <f>'Inputs'!$F$39*POWER(1+'Inputs'!$F$56,INT(((YEAR(F$5)-YEAR($D$5))*12+MONTH(F$5)-MONTH($D$5))/12))</f>
        <v>1518.26</v>
      </c>
      <c r="G41" s="21">
        <f>'Inputs'!$F$39*POWER(1+'Inputs'!$F$56,INT(((YEAR(G$5)-YEAR($D$5))*12+MONTH(G$5)-MONTH($D$5))/12))</f>
        <v>1518.26</v>
      </c>
      <c r="H41" s="21">
        <f>'Inputs'!$F$39*POWER(1+'Inputs'!$F$56,INT(((YEAR(H$5)-YEAR($D$5))*12+MONTH(H$5)-MONTH($D$5))/12))</f>
        <v>1518.26</v>
      </c>
      <c r="I41" s="21">
        <f>'Inputs'!$F$39*POWER(1+'Inputs'!$F$56,INT(((YEAR(I$5)-YEAR($D$5))*12+MONTH(I$5)-MONTH($D$5))/12))</f>
        <v>1518.26</v>
      </c>
      <c r="J41" s="21">
        <f>'Inputs'!$F$39*POWER(1+'Inputs'!$F$56,INT(((YEAR(J$5)-YEAR($D$5))*12+MONTH(J$5)-MONTH($D$5))/12))</f>
        <v>1518.26</v>
      </c>
      <c r="K41" s="21">
        <f>'Inputs'!$F$39*POWER(1+'Inputs'!$F$56,INT(((YEAR(K$5)-YEAR($D$5))*12+MONTH(K$5)-MONTH($D$5))/12))</f>
        <v>1518.26</v>
      </c>
      <c r="L41" s="21">
        <f>'Inputs'!$F$39*POWER(1+'Inputs'!$F$56,INT(((YEAR(L$5)-YEAR($D$5))*12+MONTH(L$5)-MONTH($D$5))/12))</f>
        <v>1518.26</v>
      </c>
      <c r="M41" s="21">
        <f>'Inputs'!$F$39*POWER(1+'Inputs'!$F$56,INT(((YEAR(M$5)-YEAR($D$5))*12+MONTH(M$5)-MONTH($D$5))/12))</f>
        <v>1518.26</v>
      </c>
      <c r="N41" s="21">
        <f>'Inputs'!$F$39*POWER(1+'Inputs'!$F$56,INT(((YEAR(N$5)-YEAR($D$5))*12+MONTH(N$5)-MONTH($D$5))/12))</f>
        <v>1518.26</v>
      </c>
      <c r="O41" s="21">
        <f>'Inputs'!$F$39*POWER(1+'Inputs'!$F$56,INT(((YEAR(O$5)-YEAR($D$5))*12+MONTH(O$5)-MONTH($D$5))/12))</f>
        <v>1518.26</v>
      </c>
      <c r="P41" s="21">
        <f>'Inputs'!$F$39*POWER(1+'Inputs'!$F$56,INT(((YEAR(P$5)-YEAR($D$5))*12+MONTH(P$5)-MONTH($D$5))/12))</f>
        <v>1563.8078</v>
      </c>
      <c r="Q41" s="21">
        <f>'Inputs'!$F$39*POWER(1+'Inputs'!$F$56,INT(((YEAR(Q$5)-YEAR($D$5))*12+MONTH(Q$5)-MONTH($D$5))/12))</f>
        <v>1563.8078</v>
      </c>
      <c r="R41" s="21">
        <f>'Inputs'!$F$39*POWER(1+'Inputs'!$F$56,INT(((YEAR(R$5)-YEAR($D$5))*12+MONTH(R$5)-MONTH($D$5))/12))</f>
        <v>1563.8078</v>
      </c>
      <c r="S41" s="21">
        <f>'Inputs'!$F$39*POWER(1+'Inputs'!$F$56,INT(((YEAR(S$5)-YEAR($D$5))*12+MONTH(S$5)-MONTH($D$5))/12))</f>
        <v>1563.8078</v>
      </c>
      <c r="T41" s="21">
        <f>'Inputs'!$F$39*POWER(1+'Inputs'!$F$56,INT(((YEAR(T$5)-YEAR($D$5))*12+MONTH(T$5)-MONTH($D$5))/12))</f>
        <v>1563.8078</v>
      </c>
      <c r="U41" s="21">
        <f>'Inputs'!$F$39*POWER(1+'Inputs'!$F$56,INT(((YEAR(U$5)-YEAR($D$5))*12+MONTH(U$5)-MONTH($D$5))/12))</f>
        <v>1563.8078</v>
      </c>
      <c r="V41" s="21">
        <f>'Inputs'!$F$39*POWER(1+'Inputs'!$F$56,INT(((YEAR(V$5)-YEAR($D$5))*12+MONTH(V$5)-MONTH($D$5))/12))</f>
        <v>1563.8078</v>
      </c>
      <c r="W41" s="21">
        <f>'Inputs'!$F$39*POWER(1+'Inputs'!$F$56,INT(((YEAR(W$5)-YEAR($D$5))*12+MONTH(W$5)-MONTH($D$5))/12))</f>
        <v>1563.8078</v>
      </c>
      <c r="X41" s="21">
        <f>'Inputs'!$F$39*POWER(1+'Inputs'!$F$56,INT(((YEAR(X$5)-YEAR($D$5))*12+MONTH(X$5)-MONTH($D$5))/12))</f>
        <v>1563.8078</v>
      </c>
      <c r="Y41" s="21">
        <f>'Inputs'!$F$39*POWER(1+'Inputs'!$F$56,INT(((YEAR(Y$5)-YEAR($D$5))*12+MONTH(Y$5)-MONTH($D$5))/12))</f>
        <v>1563.8078</v>
      </c>
      <c r="Z41" s="21">
        <f>'Inputs'!$F$39*POWER(1+'Inputs'!$F$56,INT(((YEAR(Z$5)-YEAR($D$5))*12+MONTH(Z$5)-MONTH($D$5))/12))</f>
        <v>1563.8078</v>
      </c>
      <c r="AA41" s="21">
        <f>'Inputs'!$F$39*POWER(1+'Inputs'!$F$56,INT(((YEAR(AA$5)-YEAR($D$5))*12+MONTH(AA$5)-MONTH($D$5))/12))</f>
        <v>1563.8078</v>
      </c>
      <c r="AB41" s="21">
        <f>'Inputs'!$F$39*POWER(1+'Inputs'!$F$56,INT(((YEAR(AB$5)-YEAR($D$5))*12+MONTH(AB$5)-MONTH($D$5))/12))</f>
        <v>1610.722034</v>
      </c>
      <c r="AC41" s="21">
        <f>'Inputs'!$F$39*POWER(1+'Inputs'!$F$56,INT(((YEAR(AC$5)-YEAR($D$5))*12+MONTH(AC$5)-MONTH($D$5))/12))</f>
        <v>1610.722034</v>
      </c>
      <c r="AD41" s="21">
        <f>'Inputs'!$F$39*POWER(1+'Inputs'!$F$56,INT(((YEAR(AD$5)-YEAR($D$5))*12+MONTH(AD$5)-MONTH($D$5))/12))</f>
        <v>1610.722034</v>
      </c>
      <c r="AE41" s="21">
        <f>'Inputs'!$F$39*POWER(1+'Inputs'!$F$56,INT(((YEAR(AE$5)-YEAR($D$5))*12+MONTH(AE$5)-MONTH($D$5))/12))</f>
        <v>1610.722034</v>
      </c>
      <c r="AF41" s="21">
        <f>'Inputs'!$F$39*POWER(1+'Inputs'!$F$56,INT(((YEAR(AF$5)-YEAR($D$5))*12+MONTH(AF$5)-MONTH($D$5))/12))</f>
        <v>1610.722034</v>
      </c>
      <c r="AG41" s="21">
        <f>'Inputs'!$F$39*POWER(1+'Inputs'!$F$56,INT(((YEAR(AG$5)-YEAR($D$5))*12+MONTH(AG$5)-MONTH($D$5))/12))</f>
        <v>1610.722034</v>
      </c>
      <c r="AH41" s="21">
        <f>'Inputs'!$F$39*POWER(1+'Inputs'!$F$56,INT(((YEAR(AH$5)-YEAR($D$5))*12+MONTH(AH$5)-MONTH($D$5))/12))</f>
        <v>1610.722034</v>
      </c>
      <c r="AI41" s="21">
        <f>'Inputs'!$F$39*POWER(1+'Inputs'!$F$56,INT(((YEAR(AI$5)-YEAR($D$5))*12+MONTH(AI$5)-MONTH($D$5))/12))</f>
        <v>1610.722034</v>
      </c>
      <c r="AJ41" s="21">
        <f>'Inputs'!$F$39*POWER(1+'Inputs'!$F$56,INT(((YEAR(AJ$5)-YEAR($D$5))*12+MONTH(AJ$5)-MONTH($D$5))/12))</f>
        <v>1610.722034</v>
      </c>
      <c r="AK41" s="21">
        <f>'Inputs'!$F$39*POWER(1+'Inputs'!$F$56,INT(((YEAR(AK$5)-YEAR($D$5))*12+MONTH(AK$5)-MONTH($D$5))/12))</f>
        <v>1610.722034</v>
      </c>
      <c r="AL41" s="21">
        <f>'Inputs'!$F$39*POWER(1+'Inputs'!$F$56,INT(((YEAR(AL$5)-YEAR($D$5))*12+MONTH(AL$5)-MONTH($D$5))/12))</f>
        <v>1610.722034</v>
      </c>
      <c r="AM41" s="21">
        <f>'Inputs'!$F$39*POWER(1+'Inputs'!$F$56,INT(((YEAR(AM$5)-YEAR($D$5))*12+MONTH(AM$5)-MONTH($D$5))/12))</f>
        <v>1610.722034</v>
      </c>
      <c r="AN41" s="21">
        <f>'Inputs'!$F$39*POWER(1+'Inputs'!$F$56,INT(((YEAR(AN$5)-YEAR($D$5))*12+MONTH(AN$5)-MONTH($D$5))/12))</f>
        <v>1659.04369502</v>
      </c>
      <c r="AO41" s="21">
        <f>'Inputs'!$F$39*POWER(1+'Inputs'!$F$56,INT(((YEAR(AO$5)-YEAR($D$5))*12+MONTH(AO$5)-MONTH($D$5))/12))</f>
        <v>1659.04369502</v>
      </c>
      <c r="AP41" s="21">
        <f>'Inputs'!$F$39*POWER(1+'Inputs'!$F$56,INT(((YEAR(AP$5)-YEAR($D$5))*12+MONTH(AP$5)-MONTH($D$5))/12))</f>
        <v>1659.04369502</v>
      </c>
      <c r="AQ41" s="21">
        <f>'Inputs'!$F$39*POWER(1+'Inputs'!$F$56,INT(((YEAR(AQ$5)-YEAR($D$5))*12+MONTH(AQ$5)-MONTH($D$5))/12))</f>
        <v>1659.04369502</v>
      </c>
      <c r="AR41" s="21">
        <f>'Inputs'!$F$39*POWER(1+'Inputs'!$F$56,INT(((YEAR(AR$5)-YEAR($D$5))*12+MONTH(AR$5)-MONTH($D$5))/12))</f>
        <v>1659.04369502</v>
      </c>
      <c r="AS41" s="21">
        <f>'Inputs'!$F$39*POWER(1+'Inputs'!$F$56,INT(((YEAR(AS$5)-YEAR($D$5))*12+MONTH(AS$5)-MONTH($D$5))/12))</f>
        <v>1659.04369502</v>
      </c>
      <c r="AT41" s="21">
        <f>'Inputs'!$F$39*POWER(1+'Inputs'!$F$56,INT(((YEAR(AT$5)-YEAR($D$5))*12+MONTH(AT$5)-MONTH($D$5))/12))</f>
        <v>1659.04369502</v>
      </c>
      <c r="AU41" s="21">
        <f>'Inputs'!$F$39*POWER(1+'Inputs'!$F$56,INT(((YEAR(AU$5)-YEAR($D$5))*12+MONTH(AU$5)-MONTH($D$5))/12))</f>
        <v>1659.04369502</v>
      </c>
    </row>
    <row r="42" spans="1:48">
      <c r="A42" s="19" t="s">
        <v>259</v>
      </c>
      <c r="B42" s="12" t="s">
        <v>49</v>
      </c>
      <c r="C42" s="14" t="s">
        <v>260</v>
      </c>
      <c r="D42" s="20">
        <f>D15-D18-D20-D21-D25-D33-D40-D41</f>
        <v>10859.337640000002</v>
      </c>
      <c r="E42" s="20">
        <f>E15-E18-E20-E21-E25-E33-E40-E41</f>
        <v>10989.1425928</v>
      </c>
      <c r="F42" s="20">
        <f>F15-F18-F20-F21-F25-F33-F40-F41</f>
        <v>11122.285154656001</v>
      </c>
      <c r="G42" s="20">
        <f>G15-G18-G20-G21-G25-G33-G40-G41</f>
        <v>5458.854323049121</v>
      </c>
      <c r="H42" s="20">
        <f>H15-H18-H20-H21-H25-H33-H40-H41</f>
        <v>5598.941542769102</v>
      </c>
      <c r="I42" s="20">
        <f>I15-I18-I20-I21-I25-I33-I40-I41</f>
        <v>9391.420460435014</v>
      </c>
      <c r="J42" s="20">
        <f>J15-J18-J20-J21-J25-J33-J40-J41</f>
        <v>11922.841659129912</v>
      </c>
      <c r="K42" s="20">
        <f>K15-K18-K20-K21-K25-K33-K40-K41</f>
        <v>14414.259269610562</v>
      </c>
      <c r="L42" s="20">
        <f>L15-L18-L20-L21-L25-L33-L40-L41</f>
        <v>20322.227446558663</v>
      </c>
      <c r="M42" s="20">
        <f>M15-M18-M20-M21-M25-M33-M40-M41</f>
        <v>22468.800184155152</v>
      </c>
      <c r="N42" s="20">
        <f>N15-N18-N20-N21-N25-N33-N40-N41</f>
        <v>24585.68666666666</v>
      </c>
      <c r="O42" s="20">
        <f>O15-O18-O20-O21-O25-O33-O40-O41</f>
        <v>26810.126666666678</v>
      </c>
      <c r="P42" s="20">
        <f>P15-P18-P20-P21-P25-P33-P40-P41</f>
        <v>26764.578866666663</v>
      </c>
      <c r="Q42" s="20">
        <f>Q15-Q18-Q20-Q21-Q25-Q33-Q40-Q41</f>
        <v>26764.578866666678</v>
      </c>
      <c r="R42" s="20">
        <f>R15-R18-R20-R21-R25-R33-R40-R41</f>
        <v>26764.578866666678</v>
      </c>
      <c r="S42" s="20">
        <f>S15-S18-S20-S21-S25-S33-S40-S41</f>
        <v>30150.08553333334</v>
      </c>
      <c r="T42" s="20">
        <f>T15-T18-T20-T21-T25-T33-T40-T41</f>
        <v>30150.08553333334</v>
      </c>
      <c r="U42" s="20">
        <f>U15-U18-U20-U21-U25-U33-U40-U41</f>
        <v>30150.08553333334</v>
      </c>
      <c r="V42" s="20">
        <f>V15-V18-V20-V21-V25-V33-V40-V41</f>
        <v>30150.08553333334</v>
      </c>
      <c r="W42" s="20">
        <f>W15-W18-W20-W21-W25-W33-W40-W41</f>
        <v>30150.08553333334</v>
      </c>
      <c r="X42" s="20">
        <f>X15-X18-X20-X21-X25-X33-X40-X41</f>
        <v>30150.08553333334</v>
      </c>
      <c r="Y42" s="20">
        <f>Y15-Y18-Y20-Y21-Y25-Y33-Y40-Y41</f>
        <v>30150.08553333334</v>
      </c>
      <c r="Z42" s="20">
        <f>Z15-Z18-Z20-Z21-Z25-Z33-Z40-Z41</f>
        <v>30150.08553333334</v>
      </c>
      <c r="AA42" s="20">
        <f>AA15-AA18-AA20-AA21-AA25-AA33-AA40-AA41</f>
        <v>30150.08553333334</v>
      </c>
      <c r="AB42" s="20">
        <f>AB15-AB18-AB20-AB21-AB25-AB33-AB40-AB41</f>
        <v>30103.17129933334</v>
      </c>
      <c r="AC42" s="20">
        <f>AC15-AC18-AC20-AC21-AC25-AC33-AC40-AC41</f>
        <v>30103.17129933334</v>
      </c>
      <c r="AD42" s="20">
        <f>AD15-AD18-AD20-AD21-AD25-AD33-AD40-AD41</f>
        <v>30103.17129933334</v>
      </c>
      <c r="AE42" s="20">
        <f>AE15-AE18-AE20-AE21-AE25-AE33-AE40-AE41</f>
        <v>30103.17129933334</v>
      </c>
      <c r="AF42" s="20">
        <f>AF15-AF18-AF20-AF21-AF25-AF33-AF40-AF41</f>
        <v>30103.17129933334</v>
      </c>
      <c r="AG42" s="20">
        <f>AG15-AG18-AG20-AG21-AG25-AG33-AG40-AG41</f>
        <v>30103.17129933334</v>
      </c>
      <c r="AH42" s="20">
        <f>AH15-AH18-AH20-AH21-AH25-AH33-AH40-AH41</f>
        <v>30103.17129933334</v>
      </c>
      <c r="AI42" s="20">
        <f>AI15-AI18-AI20-AI21-AI25-AI33-AI40-AI41</f>
        <v>30103.17129933334</v>
      </c>
      <c r="AJ42" s="20">
        <f>AJ15-AJ18-AJ20-AJ21-AJ25-AJ33-AJ40-AJ41</f>
        <v>30103.17129933334</v>
      </c>
      <c r="AK42" s="20">
        <f>AK15-AK18-AK20-AK21-AK25-AK33-AK40-AK41</f>
        <v>30103.17129933334</v>
      </c>
      <c r="AL42" s="20">
        <f>AL15-AL18-AL20-AL21-AL25-AL33-AL40-AL41</f>
        <v>30103.17129933334</v>
      </c>
      <c r="AM42" s="20">
        <f>AM15-AM18-AM20-AM21-AM25-AM33-AM40-AM41</f>
        <v>30103.17129933334</v>
      </c>
      <c r="AN42" s="20">
        <f>AN15-AN18-AN20-AN21-AN25-AN33-AN40-AN41</f>
        <v>30054.849638313346</v>
      </c>
      <c r="AO42" s="20">
        <f>AO15-AO18-AO20-AO21-AO25-AO33-AO40-AO41</f>
        <v>30054.84963831334</v>
      </c>
      <c r="AP42" s="20">
        <f>AP15-AP18-AP20-AP21-AP25-AP33-AP40-AP41</f>
        <v>30054.84963831334</v>
      </c>
      <c r="AQ42" s="20">
        <f>AQ15-AQ18-AQ20-AQ21-AQ25-AQ33-AQ40-AQ41</f>
        <v>30054.84963831334</v>
      </c>
      <c r="AR42" s="20">
        <f>AR15-AR18-AR20-AR21-AR25-AR33-AR40-AR41</f>
        <v>30054.84963831334</v>
      </c>
      <c r="AS42" s="20">
        <f>AS15-AS18-AS20-AS21-AS25-AS33-AS40-AS41</f>
        <v>30054.84963831334</v>
      </c>
      <c r="AT42" s="20">
        <f>AT15-AT18-AT20-AT21-AT25-AT33-AT40-AT41</f>
        <v>30054.84963831334</v>
      </c>
      <c r="AU42" s="20">
        <f>AU15-AU18-AU20-AU21-AU25-AU33-AU40-AU41</f>
        <v>30054.84963831334</v>
      </c>
    </row>
    <row r="43" spans="1:48">
      <c r="A43" s="5" t="s">
        <v>261</v>
      </c>
      <c r="B43" s="12" t="s">
        <v>221</v>
      </c>
      <c r="C43" s="14" t="s">
        <v>262</v>
      </c>
      <c r="D43" s="22">
        <f>IFERROR(D42/D15,0)</f>
        <v>0.34711647650811495</v>
      </c>
      <c r="E43" s="22">
        <f>IFERROR(E42/E15,0)</f>
        <v>0.3490100443082336</v>
      </c>
      <c r="F43" s="22">
        <f>IFERROR(F42/F15,0)</f>
        <v>0.35092720104642383</v>
      </c>
      <c r="G43" s="22">
        <f>IFERROR(G42/G15,0)</f>
        <v>0.1710879181851719</v>
      </c>
      <c r="H43" s="22">
        <f>IFERROR(H42/H15,0)</f>
        <v>0.17428652755374238</v>
      </c>
      <c r="I43" s="22">
        <f>IFERROR(I42/I15,0)</f>
        <v>0.22389832050326156</v>
      </c>
      <c r="J43" s="22">
        <f>IFERROR(J42/J15,0)</f>
        <v>0.2582237895935047</v>
      </c>
      <c r="K43" s="22">
        <f>IFERROR(K42/K15,0)</f>
        <v>0.2863767790531959</v>
      </c>
      <c r="L43" s="22">
        <f>IFERROR(L42/L15,0)</f>
        <v>0.3302518200908115</v>
      </c>
      <c r="M43" s="22">
        <f>IFERROR(M42/M15,0)</f>
        <v>0.34503505115220434</v>
      </c>
      <c r="N43" s="22">
        <f>IFERROR(N42/N15,0)</f>
        <v>0.35810192587797374</v>
      </c>
      <c r="O43" s="22">
        <f>IFERROR(O42/O15,0)</f>
        <v>0.3905019258779739</v>
      </c>
      <c r="P43" s="22">
        <f>IFERROR(P42/P15,0)</f>
        <v>0.38983850105195017</v>
      </c>
      <c r="Q43" s="22">
        <f>IFERROR(Q42/Q15,0)</f>
        <v>0.3898385010519503</v>
      </c>
      <c r="R43" s="22">
        <f>IFERROR(R42/R15,0)</f>
        <v>0.3898385010519503</v>
      </c>
      <c r="S43" s="22">
        <f>IFERROR(S42/S15,0)</f>
        <v>0.40247815158706624</v>
      </c>
      <c r="T43" s="22">
        <f>IFERROR(T42/T15,0)</f>
        <v>0.40247815158706624</v>
      </c>
      <c r="U43" s="22">
        <f>IFERROR(U42/U15,0)</f>
        <v>0.40247815158706624</v>
      </c>
      <c r="V43" s="22">
        <f>IFERROR(V42/V15,0)</f>
        <v>0.40247815158706624</v>
      </c>
      <c r="W43" s="22">
        <f>IFERROR(W42/W15,0)</f>
        <v>0.40247815158706624</v>
      </c>
      <c r="X43" s="22">
        <f>IFERROR(X42/X15,0)</f>
        <v>0.40247815158706624</v>
      </c>
      <c r="Y43" s="22">
        <f>IFERROR(Y42/Y15,0)</f>
        <v>0.40247815158706624</v>
      </c>
      <c r="Z43" s="22">
        <f>IFERROR(Z42/Z15,0)</f>
        <v>0.40247815158706624</v>
      </c>
      <c r="AA43" s="22">
        <f>IFERROR(AA42/AA15,0)</f>
        <v>0.40247815158706624</v>
      </c>
      <c r="AB43" s="22">
        <f>IFERROR(AB42/AB15,0)</f>
        <v>0.40185188622663903</v>
      </c>
      <c r="AC43" s="22">
        <f>IFERROR(AC42/AC15,0)</f>
        <v>0.40185188622663903</v>
      </c>
      <c r="AD43" s="22">
        <f>IFERROR(AD42/AD15,0)</f>
        <v>0.40185188622663903</v>
      </c>
      <c r="AE43" s="22">
        <f>IFERROR(AE42/AE15,0)</f>
        <v>0.40185188622663903</v>
      </c>
      <c r="AF43" s="22">
        <f>IFERROR(AF42/AF15,0)</f>
        <v>0.40185188622663903</v>
      </c>
      <c r="AG43" s="22">
        <f>IFERROR(AG42/AG15,0)</f>
        <v>0.40185188622663903</v>
      </c>
      <c r="AH43" s="22">
        <f>IFERROR(AH42/AH15,0)</f>
        <v>0.40185188622663903</v>
      </c>
      <c r="AI43" s="22">
        <f>IFERROR(AI42/AI15,0)</f>
        <v>0.40185188622663903</v>
      </c>
      <c r="AJ43" s="22">
        <f>IFERROR(AJ42/AJ15,0)</f>
        <v>0.40185188622663903</v>
      </c>
      <c r="AK43" s="22">
        <f>IFERROR(AK42/AK15,0)</f>
        <v>0.40185188622663903</v>
      </c>
      <c r="AL43" s="22">
        <f>IFERROR(AL42/AL15,0)</f>
        <v>0.40185188622663903</v>
      </c>
      <c r="AM43" s="22">
        <f>IFERROR(AM42/AM15,0)</f>
        <v>0.40185188622663903</v>
      </c>
      <c r="AN43" s="22">
        <f>IFERROR(AN42/AN15,0)</f>
        <v>0.4012068329053991</v>
      </c>
      <c r="AO43" s="22">
        <f>IFERROR(AO42/AO15,0)</f>
        <v>0.40120683290539905</v>
      </c>
      <c r="AP43" s="22">
        <f>IFERROR(AP42/AP15,0)</f>
        <v>0.40120683290539905</v>
      </c>
      <c r="AQ43" s="22">
        <f>IFERROR(AQ42/AQ15,0)</f>
        <v>0.40120683290539905</v>
      </c>
      <c r="AR43" s="22">
        <f>IFERROR(AR42/AR15,0)</f>
        <v>0.40120683290539905</v>
      </c>
      <c r="AS43" s="22">
        <f>IFERROR(AS42/AS15,0)</f>
        <v>0.40120683290539905</v>
      </c>
      <c r="AT43" s="22">
        <f>IFERROR(AT42/AT15,0)</f>
        <v>0.40120683290539905</v>
      </c>
      <c r="AU43" s="22">
        <f>IFERROR(AU42/AU15,0)</f>
        <v>0.40120683290539905</v>
      </c>
    </row>
    <row r="44" spans="1:48">
      <c r="A44" s="5" t="s">
        <v>263</v>
      </c>
      <c r="B44" s="12" t="s">
        <v>49</v>
      </c>
      <c r="C44" s="14" t="s">
        <v>264</v>
      </c>
      <c r="D44" s="21">
        <f>IF(D$5&gt;='Inputs'!$F$33,'Inputs'!$F$32,0)</f>
        <v>7500.0</v>
      </c>
      <c r="E44" s="21">
        <f>IF(E$5&gt;='Inputs'!$F$33,'Inputs'!$F$32,0)</f>
        <v>7500.0</v>
      </c>
      <c r="F44" s="21">
        <f>IF(F$5&gt;='Inputs'!$F$33,'Inputs'!$F$32,0)</f>
        <v>7500.0</v>
      </c>
      <c r="G44" s="21">
        <f>IF(G$5&gt;='Inputs'!$F$33,'Inputs'!$F$32,0)</f>
        <v>7500.0</v>
      </c>
      <c r="H44" s="21">
        <f>IF(H$5&gt;='Inputs'!$F$33,'Inputs'!$F$32,0)</f>
        <v>7500.0</v>
      </c>
      <c r="I44" s="21">
        <f>IF(I$5&gt;='Inputs'!$F$33,'Inputs'!$F$32,0)</f>
        <v>7500.0</v>
      </c>
      <c r="J44" s="21">
        <f>IF(J$5&gt;='Inputs'!$F$33,'Inputs'!$F$32,0)</f>
        <v>7500.0</v>
      </c>
      <c r="K44" s="21">
        <f>IF(K$5&gt;='Inputs'!$F$33,'Inputs'!$F$32,0)</f>
        <v>7500.0</v>
      </c>
      <c r="L44" s="21">
        <f>IF(L$5&gt;='Inputs'!$F$33,'Inputs'!$F$32,0)</f>
        <v>7500.0</v>
      </c>
      <c r="M44" s="21">
        <f>IF(M$5&gt;='Inputs'!$F$33,'Inputs'!$F$32,0)</f>
        <v>7500.0</v>
      </c>
      <c r="N44" s="21">
        <f>IF(N$5&gt;='Inputs'!$F$33,'Inputs'!$F$32,0)</f>
        <v>7500.0</v>
      </c>
      <c r="O44" s="21">
        <f>IF(O$5&gt;='Inputs'!$F$33,'Inputs'!$F$32,0)</f>
        <v>7500.0</v>
      </c>
      <c r="P44" s="21">
        <f>IF(P$5&gt;='Inputs'!$F$33,'Inputs'!$F$32,0)</f>
        <v>7500.0</v>
      </c>
      <c r="Q44" s="21">
        <f>IF(Q$5&gt;='Inputs'!$F$33,'Inputs'!$F$32,0)</f>
        <v>7500.0</v>
      </c>
      <c r="R44" s="21">
        <f>IF(R$5&gt;='Inputs'!$F$33,'Inputs'!$F$32,0)</f>
        <v>7500.0</v>
      </c>
      <c r="S44" s="21">
        <f>IF(S$5&gt;='Inputs'!$F$33,'Inputs'!$F$32,0)</f>
        <v>7500.0</v>
      </c>
      <c r="T44" s="21">
        <f>IF(T$5&gt;='Inputs'!$F$33,'Inputs'!$F$32,0)</f>
        <v>7500.0</v>
      </c>
      <c r="U44" s="21">
        <f>IF(U$5&gt;='Inputs'!$F$33,'Inputs'!$F$32,0)</f>
        <v>7500.0</v>
      </c>
      <c r="V44" s="21">
        <f>IF(V$5&gt;='Inputs'!$F$33,'Inputs'!$F$32,0)</f>
        <v>7500.0</v>
      </c>
      <c r="W44" s="21">
        <f>IF(W$5&gt;='Inputs'!$F$33,'Inputs'!$F$32,0)</f>
        <v>7500.0</v>
      </c>
      <c r="X44" s="21">
        <f>IF(X$5&gt;='Inputs'!$F$33,'Inputs'!$F$32,0)</f>
        <v>7500.0</v>
      </c>
      <c r="Y44" s="21">
        <f>IF(Y$5&gt;='Inputs'!$F$33,'Inputs'!$F$32,0)</f>
        <v>7500.0</v>
      </c>
      <c r="Z44" s="21">
        <f>IF(Z$5&gt;='Inputs'!$F$33,'Inputs'!$F$32,0)</f>
        <v>7500.0</v>
      </c>
      <c r="AA44" s="21">
        <f>IF(AA$5&gt;='Inputs'!$F$33,'Inputs'!$F$32,0)</f>
        <v>7500.0</v>
      </c>
      <c r="AB44" s="21">
        <f>IF(AB$5&gt;='Inputs'!$F$33,'Inputs'!$F$32,0)</f>
        <v>7500.0</v>
      </c>
      <c r="AC44" s="21">
        <f>IF(AC$5&gt;='Inputs'!$F$33,'Inputs'!$F$32,0)</f>
        <v>7500.0</v>
      </c>
      <c r="AD44" s="21">
        <f>IF(AD$5&gt;='Inputs'!$F$33,'Inputs'!$F$32,0)</f>
        <v>7500.0</v>
      </c>
      <c r="AE44" s="21">
        <f>IF(AE$5&gt;='Inputs'!$F$33,'Inputs'!$F$32,0)</f>
        <v>7500.0</v>
      </c>
      <c r="AF44" s="21">
        <f>IF(AF$5&gt;='Inputs'!$F$33,'Inputs'!$F$32,0)</f>
        <v>7500.0</v>
      </c>
      <c r="AG44" s="21">
        <f>IF(AG$5&gt;='Inputs'!$F$33,'Inputs'!$F$32,0)</f>
        <v>7500.0</v>
      </c>
      <c r="AH44" s="21">
        <f>IF(AH$5&gt;='Inputs'!$F$33,'Inputs'!$F$32,0)</f>
        <v>7500.0</v>
      </c>
      <c r="AI44" s="21">
        <f>IF(AI$5&gt;='Inputs'!$F$33,'Inputs'!$F$32,0)</f>
        <v>7500.0</v>
      </c>
      <c r="AJ44" s="21">
        <f>IF(AJ$5&gt;='Inputs'!$F$33,'Inputs'!$F$32,0)</f>
        <v>7500.0</v>
      </c>
      <c r="AK44" s="21">
        <f>IF(AK$5&gt;='Inputs'!$F$33,'Inputs'!$F$32,0)</f>
        <v>7500.0</v>
      </c>
      <c r="AL44" s="21">
        <f>IF(AL$5&gt;='Inputs'!$F$33,'Inputs'!$F$32,0)</f>
        <v>7500.0</v>
      </c>
      <c r="AM44" s="21">
        <f>IF(AM$5&gt;='Inputs'!$F$33,'Inputs'!$F$32,0)</f>
        <v>7500.0</v>
      </c>
      <c r="AN44" s="21">
        <f>IF(AN$5&gt;='Inputs'!$F$33,'Inputs'!$F$32,0)</f>
        <v>7500.0</v>
      </c>
      <c r="AO44" s="21">
        <f>IF(AO$5&gt;='Inputs'!$F$33,'Inputs'!$F$32,0)</f>
        <v>7500.0</v>
      </c>
      <c r="AP44" s="21">
        <f>IF(AP$5&gt;='Inputs'!$F$33,'Inputs'!$F$32,0)</f>
        <v>7500.0</v>
      </c>
      <c r="AQ44" s="21">
        <f>IF(AQ$5&gt;='Inputs'!$F$33,'Inputs'!$F$32,0)</f>
        <v>7500.0</v>
      </c>
      <c r="AR44" s="21">
        <f>IF(AR$5&gt;='Inputs'!$F$33,'Inputs'!$F$32,0)</f>
        <v>7500.0</v>
      </c>
      <c r="AS44" s="21">
        <f>IF(AS$5&gt;='Inputs'!$F$33,'Inputs'!$F$32,0)</f>
        <v>7500.0</v>
      </c>
      <c r="AT44" s="21">
        <f>IF(AT$5&gt;='Inputs'!$F$33,'Inputs'!$F$32,0)</f>
        <v>7500.0</v>
      </c>
      <c r="AU44" s="21">
        <f>IF(AU$5&gt;='Inputs'!$F$33,'Inputs'!$F$32,0)</f>
        <v>7500.0</v>
      </c>
    </row>
    <row r="45" spans="1:48">
      <c r="A45" s="5" t="s">
        <v>265</v>
      </c>
      <c r="B45" s="12" t="s">
        <v>49</v>
      </c>
      <c r="C45" s="14" t="s">
        <v>266</v>
      </c>
      <c r="D45" s="21">
        <f>MIN(MAX(0,IF(D$5&gt;='Inputs'!$F$35,'Inputs'!$F$36,0)),MAX(0,'Inputs'!$F$34+D23-D44))</f>
        <v>0.0</v>
      </c>
      <c r="E45" s="21">
        <f>MIN(MAX(0,IF(E$5&gt;='Inputs'!$F$35,'Inputs'!$F$36,0)),MAX(0,D47+E23-E44))</f>
        <v>0.0</v>
      </c>
      <c r="F45" s="21">
        <f>MIN(MAX(0,IF(F$5&gt;='Inputs'!$F$35,'Inputs'!$F$36,0)),MAX(0,E47+F23-F44))</f>
        <v>0.0</v>
      </c>
      <c r="G45" s="21">
        <f>MIN(MAX(0,IF(G$5&gt;='Inputs'!$F$35,'Inputs'!$F$36,0)),MAX(0,F47+G23-G44))</f>
        <v>0.0</v>
      </c>
      <c r="H45" s="21">
        <f>MIN(MAX(0,IF(H$5&gt;='Inputs'!$F$35,'Inputs'!$F$36,0)),MAX(0,G47+H23-H44))</f>
        <v>0.0</v>
      </c>
      <c r="I45" s="21">
        <f>MIN(MAX(0,IF(I$5&gt;='Inputs'!$F$35,'Inputs'!$F$36,0)),MAX(0,H47+I23-I44))</f>
        <v>0.0</v>
      </c>
      <c r="J45" s="21">
        <f>MIN(MAX(0,IF(J$5&gt;='Inputs'!$F$35,'Inputs'!$F$36,0)),MAX(0,I47+J23-J44))</f>
        <v>0.0</v>
      </c>
      <c r="K45" s="21">
        <f>MIN(MAX(0,IF(K$5&gt;='Inputs'!$F$35,'Inputs'!$F$36,0)),MAX(0,J47+K23-K44))</f>
        <v>0.0</v>
      </c>
      <c r="L45" s="21">
        <f>MIN(MAX(0,IF(L$5&gt;='Inputs'!$F$35,'Inputs'!$F$36,0)),MAX(0,K47+L23-L44))</f>
        <v>0.0</v>
      </c>
      <c r="M45" s="21">
        <f>MIN(MAX(0,IF(M$5&gt;='Inputs'!$F$35,'Inputs'!$F$36,0)),MAX(0,L47+M23-M44))</f>
        <v>0.0</v>
      </c>
      <c r="N45" s="21">
        <f>MIN(MAX(0,IF(N$5&gt;='Inputs'!$F$35,'Inputs'!$F$36,0)),MAX(0,M47+N23-N44))</f>
        <v>0.0</v>
      </c>
      <c r="O45" s="21">
        <f>MIN(MAX(0,IF(O$5&gt;='Inputs'!$F$35,'Inputs'!$F$36,0)),MAX(0,N47+O23-O44))</f>
        <v>0.0</v>
      </c>
      <c r="P45" s="21">
        <f>MIN(MAX(0,IF(P$5&gt;='Inputs'!$F$35,'Inputs'!$F$36,0)),MAX(0,O47+P23-P44))</f>
        <v>0.0</v>
      </c>
      <c r="Q45" s="21">
        <f>MIN(MAX(0,IF(Q$5&gt;='Inputs'!$F$35,'Inputs'!$F$36,0)),MAX(0,P47+Q23-Q44))</f>
        <v>0.0</v>
      </c>
      <c r="R45" s="21">
        <f>MIN(MAX(0,IF(R$5&gt;='Inputs'!$F$35,'Inputs'!$F$36,0)),MAX(0,Q47+R23-R44))</f>
        <v>0.0</v>
      </c>
      <c r="S45" s="21">
        <f>MIN(MAX(0,IF(S$5&gt;='Inputs'!$F$35,'Inputs'!$F$36,0)),MAX(0,R47+S23-S44))</f>
        <v>0.0</v>
      </c>
      <c r="T45" s="21">
        <f>MIN(MAX(0,IF(T$5&gt;='Inputs'!$F$35,'Inputs'!$F$36,0)),MAX(0,S47+T23-T44))</f>
        <v>0.0</v>
      </c>
      <c r="U45" s="21">
        <f>MIN(MAX(0,IF(U$5&gt;='Inputs'!$F$35,'Inputs'!$F$36,0)),MAX(0,T47+U23-U44))</f>
        <v>0.0</v>
      </c>
      <c r="V45" s="21">
        <f>MIN(MAX(0,IF(V$5&gt;='Inputs'!$F$35,'Inputs'!$F$36,0)),MAX(0,U47+V23-V44))</f>
        <v>0.0</v>
      </c>
      <c r="W45" s="21">
        <f>MIN(MAX(0,IF(W$5&gt;='Inputs'!$F$35,'Inputs'!$F$36,0)),MAX(0,V47+W23-W44))</f>
        <v>0.0</v>
      </c>
      <c r="X45" s="21">
        <f>MIN(MAX(0,IF(X$5&gt;='Inputs'!$F$35,'Inputs'!$F$36,0)),MAX(0,W47+X23-X44))</f>
        <v>0.0</v>
      </c>
      <c r="Y45" s="21">
        <f>MIN(MAX(0,IF(Y$5&gt;='Inputs'!$F$35,'Inputs'!$F$36,0)),MAX(0,X47+Y23-Y44))</f>
        <v>0.0</v>
      </c>
      <c r="Z45" s="21">
        <f>MIN(MAX(0,IF(Z$5&gt;='Inputs'!$F$35,'Inputs'!$F$36,0)),MAX(0,Y47+Z23-Z44))</f>
        <v>0.0</v>
      </c>
      <c r="AA45" s="21">
        <f>MIN(MAX(0,IF(AA$5&gt;='Inputs'!$F$35,'Inputs'!$F$36,0)),MAX(0,Z47+AA23-AA44))</f>
        <v>0.0</v>
      </c>
      <c r="AB45" s="21">
        <f>MIN(MAX(0,IF(AB$5&gt;='Inputs'!$F$35,'Inputs'!$F$36,0)),MAX(0,AA47+AB23-AB44))</f>
        <v>0.0</v>
      </c>
      <c r="AC45" s="21">
        <f>MIN(MAX(0,IF(AC$5&gt;='Inputs'!$F$35,'Inputs'!$F$36,0)),MAX(0,AB47+AC23-AC44))</f>
        <v>0.0</v>
      </c>
      <c r="AD45" s="21">
        <f>MIN(MAX(0,IF(AD$5&gt;='Inputs'!$F$35,'Inputs'!$F$36,0)),MAX(0,AC47+AD23-AD44))</f>
        <v>0.0</v>
      </c>
      <c r="AE45" s="21">
        <f>MIN(MAX(0,IF(AE$5&gt;='Inputs'!$F$35,'Inputs'!$F$36,0)),MAX(0,AD47+AE23-AE44))</f>
        <v>0.0</v>
      </c>
      <c r="AF45" s="21">
        <f>MIN(MAX(0,IF(AF$5&gt;='Inputs'!$F$35,'Inputs'!$F$36,0)),MAX(0,AE47+AF23-AF44))</f>
        <v>0.0</v>
      </c>
      <c r="AG45" s="21">
        <f>MIN(MAX(0,IF(AG$5&gt;='Inputs'!$F$35,'Inputs'!$F$36,0)),MAX(0,AF47+AG23-AG44))</f>
        <v>0.0</v>
      </c>
      <c r="AH45" s="21">
        <f>MIN(MAX(0,IF(AH$5&gt;='Inputs'!$F$35,'Inputs'!$F$36,0)),MAX(0,AG47+AH23-AH44))</f>
        <v>0.0</v>
      </c>
      <c r="AI45" s="21">
        <f>MIN(MAX(0,IF(AI$5&gt;='Inputs'!$F$35,'Inputs'!$F$36,0)),MAX(0,AH47+AI23-AI44))</f>
        <v>0.0</v>
      </c>
      <c r="AJ45" s="21">
        <f>MIN(MAX(0,IF(AJ$5&gt;='Inputs'!$F$35,'Inputs'!$F$36,0)),MAX(0,AI47+AJ23-AJ44))</f>
        <v>0.0</v>
      </c>
      <c r="AK45" s="21">
        <f>MIN(MAX(0,IF(AK$5&gt;='Inputs'!$F$35,'Inputs'!$F$36,0)),MAX(0,AJ47+AK23-AK44))</f>
        <v>0.0</v>
      </c>
      <c r="AL45" s="21">
        <f>MIN(MAX(0,IF(AL$5&gt;='Inputs'!$F$35,'Inputs'!$F$36,0)),MAX(0,AK47+AL23-AL44))</f>
        <v>0.0</v>
      </c>
      <c r="AM45" s="21">
        <f>MIN(MAX(0,IF(AM$5&gt;='Inputs'!$F$35,'Inputs'!$F$36,0)),MAX(0,AL47+AM23-AM44))</f>
        <v>0.0</v>
      </c>
      <c r="AN45" s="21">
        <f>MIN(MAX(0,IF(AN$5&gt;='Inputs'!$F$35,'Inputs'!$F$36,0)),MAX(0,AM47+AN23-AN44))</f>
        <v>0.0</v>
      </c>
      <c r="AO45" s="21">
        <f>MIN(MAX(0,IF(AO$5&gt;='Inputs'!$F$35,'Inputs'!$F$36,0)),MAX(0,AN47+AO23-AO44))</f>
        <v>0.0</v>
      </c>
      <c r="AP45" s="21">
        <f>MIN(MAX(0,IF(AP$5&gt;='Inputs'!$F$35,'Inputs'!$F$36,0)),MAX(0,AO47+AP23-AP44))</f>
        <v>0.0</v>
      </c>
      <c r="AQ45" s="21">
        <f>MIN(MAX(0,IF(AQ$5&gt;='Inputs'!$F$35,'Inputs'!$F$36,0)),MAX(0,AP47+AQ23-AQ44))</f>
        <v>0.0</v>
      </c>
      <c r="AR45" s="21">
        <f>MIN(MAX(0,IF(AR$5&gt;='Inputs'!$F$35,'Inputs'!$F$36,0)),MAX(0,AQ47+AR23-AR44))</f>
        <v>0.0</v>
      </c>
      <c r="AS45" s="21">
        <f>MIN(MAX(0,IF(AS$5&gt;='Inputs'!$F$35,'Inputs'!$F$36,0)),MAX(0,AR47+AS23-AS44))</f>
        <v>0.0</v>
      </c>
      <c r="AT45" s="21">
        <f>MIN(MAX(0,IF(AT$5&gt;='Inputs'!$F$35,'Inputs'!$F$36,0)),MAX(0,AS47+AT23-AT44))</f>
        <v>0.0</v>
      </c>
      <c r="AU45" s="21">
        <f>MIN(MAX(0,IF(AU$5&gt;='Inputs'!$F$35,'Inputs'!$F$36,0)),MAX(0,AT47+AU23-AU44))</f>
        <v>0.0</v>
      </c>
    </row>
    <row r="46" spans="1:48">
      <c r="A46" s="5" t="s">
        <v>267</v>
      </c>
      <c r="B46" s="12" t="s">
        <v>49</v>
      </c>
      <c r="C46" s="14" t="s">
        <v>268</v>
      </c>
      <c r="D46" s="21">
        <f>D23-D44-D45</f>
        <v>0.0</v>
      </c>
      <c r="E46" s="21">
        <f>E23-E44-E45</f>
        <v>0.0</v>
      </c>
      <c r="F46" s="21">
        <f>F23-F44-F45</f>
        <v>0.0</v>
      </c>
      <c r="G46" s="21">
        <f>G23-G44-G45</f>
        <v>0.0</v>
      </c>
      <c r="H46" s="21">
        <f>H23-H44-H45</f>
        <v>0.0</v>
      </c>
      <c r="I46" s="21">
        <f>I23-I44-I45</f>
        <v>0.0</v>
      </c>
      <c r="J46" s="21">
        <f>J23-J44-J45</f>
        <v>0.0</v>
      </c>
      <c r="K46" s="21">
        <f>K23-K44-K45</f>
        <v>0.0</v>
      </c>
      <c r="L46" s="21">
        <f>L23-L44-L45</f>
        <v>0.0</v>
      </c>
      <c r="M46" s="21">
        <f>M23-M44-M45</f>
        <v>0.0</v>
      </c>
      <c r="N46" s="21">
        <f>N23-N44-N45</f>
        <v>0.0</v>
      </c>
      <c r="O46" s="21">
        <f>O23-O44-O45</f>
        <v>0.0</v>
      </c>
      <c r="P46" s="21">
        <f>P23-P44-P45</f>
        <v>0.0</v>
      </c>
      <c r="Q46" s="21">
        <f>Q23-Q44-Q45</f>
        <v>0.0</v>
      </c>
      <c r="R46" s="21">
        <f>R23-R44-R45</f>
        <v>0.0</v>
      </c>
      <c r="S46" s="21">
        <f>S23-S44-S45</f>
        <v>0.0</v>
      </c>
      <c r="T46" s="21">
        <f>T23-T44-T45</f>
        <v>0.0</v>
      </c>
      <c r="U46" s="21">
        <f>U23-U44-U45</f>
        <v>0.0</v>
      </c>
      <c r="V46" s="21">
        <f>V23-V44-V45</f>
        <v>0.0</v>
      </c>
      <c r="W46" s="21">
        <f>W23-W44-W45</f>
        <v>0.0</v>
      </c>
      <c r="X46" s="21">
        <f>X23-X44-X45</f>
        <v>0.0</v>
      </c>
      <c r="Y46" s="21">
        <f>Y23-Y44-Y45</f>
        <v>0.0</v>
      </c>
      <c r="Z46" s="21">
        <f>Z23-Z44-Z45</f>
        <v>0.0</v>
      </c>
      <c r="AA46" s="21">
        <f>AA23-AA44-AA45</f>
        <v>0.0</v>
      </c>
      <c r="AB46" s="21">
        <f>AB23-AB44-AB45</f>
        <v>0.0</v>
      </c>
      <c r="AC46" s="21">
        <f>AC23-AC44-AC45</f>
        <v>0.0</v>
      </c>
      <c r="AD46" s="21">
        <f>AD23-AD44-AD45</f>
        <v>0.0</v>
      </c>
      <c r="AE46" s="21">
        <f>AE23-AE44-AE45</f>
        <v>0.0</v>
      </c>
      <c r="AF46" s="21">
        <f>AF23-AF44-AF45</f>
        <v>0.0</v>
      </c>
      <c r="AG46" s="21">
        <f>AG23-AG44-AG45</f>
        <v>0.0</v>
      </c>
      <c r="AH46" s="21">
        <f>AH23-AH44-AH45</f>
        <v>0.0</v>
      </c>
      <c r="AI46" s="21">
        <f>AI23-AI44-AI45</f>
        <v>0.0</v>
      </c>
      <c r="AJ46" s="21">
        <f>AJ23-AJ44-AJ45</f>
        <v>0.0</v>
      </c>
      <c r="AK46" s="21">
        <f>AK23-AK44-AK45</f>
        <v>0.0</v>
      </c>
      <c r="AL46" s="21">
        <f>AL23-AL44-AL45</f>
        <v>0.0</v>
      </c>
      <c r="AM46" s="21">
        <f>AM23-AM44-AM45</f>
        <v>0.0</v>
      </c>
      <c r="AN46" s="21">
        <f>AN23-AN44-AN45</f>
        <v>0.0</v>
      </c>
      <c r="AO46" s="21">
        <f>AO23-AO44-AO45</f>
        <v>0.0</v>
      </c>
      <c r="AP46" s="21">
        <f>AP23-AP44-AP45</f>
        <v>0.0</v>
      </c>
      <c r="AQ46" s="21">
        <f>AQ23-AQ44-AQ45</f>
        <v>0.0</v>
      </c>
      <c r="AR46" s="21">
        <f>AR23-AR44-AR45</f>
        <v>0.0</v>
      </c>
      <c r="AS46" s="21">
        <f>AS23-AS44-AS45</f>
        <v>0.0</v>
      </c>
      <c r="AT46" s="21">
        <f>AT23-AT44-AT45</f>
        <v>0.0</v>
      </c>
      <c r="AU46" s="21">
        <f>AU23-AU44-AU45</f>
        <v>0.0</v>
      </c>
    </row>
    <row r="47" spans="1:48">
      <c r="A47" s="19" t="s">
        <v>269</v>
      </c>
      <c r="B47" s="12" t="s">
        <v>119</v>
      </c>
      <c r="C47" s="14" t="s">
        <v>270</v>
      </c>
      <c r="D47" s="20">
        <f>'Inputs'!$F$34+D46</f>
        <v>0.0</v>
      </c>
      <c r="E47" s="20">
        <f>D47+E46</f>
        <v>0.0</v>
      </c>
      <c r="F47" s="20">
        <f>E47+F46</f>
        <v>0.0</v>
      </c>
      <c r="G47" s="20">
        <f>F47+G46</f>
        <v>0.0</v>
      </c>
      <c r="H47" s="20">
        <f>G47+H46</f>
        <v>0.0</v>
      </c>
      <c r="I47" s="20">
        <f>H47+I46</f>
        <v>0.0</v>
      </c>
      <c r="J47" s="20">
        <f>I47+J46</f>
        <v>0.0</v>
      </c>
      <c r="K47" s="20">
        <f>J47+K46</f>
        <v>0.0</v>
      </c>
      <c r="L47" s="20">
        <f>K47+L46</f>
        <v>0.0</v>
      </c>
      <c r="M47" s="20">
        <f>L47+M46</f>
        <v>0.0</v>
      </c>
      <c r="N47" s="20">
        <f>M47+N46</f>
        <v>0.0</v>
      </c>
      <c r="O47" s="20">
        <f>N47+O46</f>
        <v>0.0</v>
      </c>
      <c r="P47" s="20">
        <f>O47+P46</f>
        <v>0.0</v>
      </c>
      <c r="Q47" s="20">
        <f>P47+Q46</f>
        <v>0.0</v>
      </c>
      <c r="R47" s="20">
        <f>Q47+R46</f>
        <v>0.0</v>
      </c>
      <c r="S47" s="20">
        <f>R47+S46</f>
        <v>0.0</v>
      </c>
      <c r="T47" s="20">
        <f>S47+T46</f>
        <v>0.0</v>
      </c>
      <c r="U47" s="20">
        <f>T47+U46</f>
        <v>0.0</v>
      </c>
      <c r="V47" s="20">
        <f>U47+V46</f>
        <v>0.0</v>
      </c>
      <c r="W47" s="20">
        <f>V47+W46</f>
        <v>0.0</v>
      </c>
      <c r="X47" s="20">
        <f>W47+X46</f>
        <v>0.0</v>
      </c>
      <c r="Y47" s="20">
        <f>X47+Y46</f>
        <v>0.0</v>
      </c>
      <c r="Z47" s="20">
        <f>Y47+Z46</f>
        <v>0.0</v>
      </c>
      <c r="AA47" s="20">
        <f>Z47+AA46</f>
        <v>0.0</v>
      </c>
      <c r="AB47" s="20">
        <f>AA47+AB46</f>
        <v>0.0</v>
      </c>
      <c r="AC47" s="20">
        <f>AB47+AC46</f>
        <v>0.0</v>
      </c>
      <c r="AD47" s="20">
        <f>AC47+AD46</f>
        <v>0.0</v>
      </c>
      <c r="AE47" s="20">
        <f>AD47+AE46</f>
        <v>0.0</v>
      </c>
      <c r="AF47" s="20">
        <f>AE47+AF46</f>
        <v>0.0</v>
      </c>
      <c r="AG47" s="20">
        <f>AF47+AG46</f>
        <v>0.0</v>
      </c>
      <c r="AH47" s="20">
        <f>AG47+AH46</f>
        <v>0.0</v>
      </c>
      <c r="AI47" s="20">
        <f>AH47+AI46</f>
        <v>0.0</v>
      </c>
      <c r="AJ47" s="20">
        <f>AI47+AJ46</f>
        <v>0.0</v>
      </c>
      <c r="AK47" s="20">
        <f>AJ47+AK46</f>
        <v>0.0</v>
      </c>
      <c r="AL47" s="20">
        <f>AK47+AL46</f>
        <v>0.0</v>
      </c>
      <c r="AM47" s="20">
        <f>AL47+AM46</f>
        <v>0.0</v>
      </c>
      <c r="AN47" s="20">
        <f>AM47+AN46</f>
        <v>0.0</v>
      </c>
      <c r="AO47" s="20">
        <f>AN47+AO46</f>
        <v>0.0</v>
      </c>
      <c r="AP47" s="20">
        <f>AO47+AP46</f>
        <v>0.0</v>
      </c>
      <c r="AQ47" s="20">
        <f>AP47+AQ46</f>
        <v>0.0</v>
      </c>
      <c r="AR47" s="20">
        <f>AQ47+AR46</f>
        <v>0.0</v>
      </c>
      <c r="AS47" s="20">
        <f>AR47+AS46</f>
        <v>0.0</v>
      </c>
      <c r="AT47" s="20">
        <f>AS47+AT46</f>
        <v>0.0</v>
      </c>
      <c r="AU47" s="20">
        <f>AT47+AU46</f>
        <v>0.0</v>
      </c>
    </row>
    <row r="48" spans="1:48">
      <c r="A48" s="19" t="s">
        <v>271</v>
      </c>
      <c r="B48" s="12" t="s">
        <v>49</v>
      </c>
      <c r="C48" s="14" t="s">
        <v>272</v>
      </c>
      <c r="D48" s="20">
        <f>D42+D23-D44-D45</f>
        <v>10859.337640000002</v>
      </c>
      <c r="E48" s="20">
        <f>E42+E23-E44-E45</f>
        <v>10989.142592800003</v>
      </c>
      <c r="F48" s="20">
        <f>F42+F23-F44-F45</f>
        <v>11122.285154656001</v>
      </c>
      <c r="G48" s="20">
        <f>G42+G23-G44-G45</f>
        <v>5458.854323049121</v>
      </c>
      <c r="H48" s="20">
        <f>H42+H23-H44-H45</f>
        <v>5598.941542769102</v>
      </c>
      <c r="I48" s="20">
        <f>I42+I23-I44-I45</f>
        <v>9391.420460435016</v>
      </c>
      <c r="J48" s="20">
        <f>J42+J23-J44-J45</f>
        <v>11922.84165912991</v>
      </c>
      <c r="K48" s="20">
        <f>K42+K23-K44-K45</f>
        <v>14414.259269610564</v>
      </c>
      <c r="L48" s="20">
        <f>L42+L23-L44-L45</f>
        <v>20322.227446558663</v>
      </c>
      <c r="M48" s="20">
        <f>M42+M23-M44-M45</f>
        <v>22468.800184155152</v>
      </c>
      <c r="N48" s="20">
        <f>N42+N23-N44-N45</f>
        <v>24585.68666666666</v>
      </c>
      <c r="O48" s="20">
        <f>O42+O23-O44-O45</f>
        <v>26810.126666666678</v>
      </c>
      <c r="P48" s="20">
        <f>P42+P23-P44-P45</f>
        <v>26764.578866666663</v>
      </c>
      <c r="Q48" s="20">
        <f>Q42+Q23-Q44-Q45</f>
        <v>26764.578866666678</v>
      </c>
      <c r="R48" s="20">
        <f>R42+R23-R44-R45</f>
        <v>26764.578866666678</v>
      </c>
      <c r="S48" s="20">
        <f>S42+S23-S44-S45</f>
        <v>30150.08553333334</v>
      </c>
      <c r="T48" s="20">
        <f>T42+T23-T44-T45</f>
        <v>30150.08553333334</v>
      </c>
      <c r="U48" s="20">
        <f>U42+U23-U44-U45</f>
        <v>30150.08553333334</v>
      </c>
      <c r="V48" s="20">
        <f>V42+V23-V44-V45</f>
        <v>30150.08553333334</v>
      </c>
      <c r="W48" s="20">
        <f>W42+W23-W44-W45</f>
        <v>30150.08553333334</v>
      </c>
      <c r="X48" s="20">
        <f>X42+X23-X44-X45</f>
        <v>30150.08553333334</v>
      </c>
      <c r="Y48" s="20">
        <f>Y42+Y23-Y44-Y45</f>
        <v>30150.08553333334</v>
      </c>
      <c r="Z48" s="20">
        <f>Z42+Z23-Z44-Z45</f>
        <v>30150.08553333334</v>
      </c>
      <c r="AA48" s="20">
        <f>AA42+AA23-AA44-AA45</f>
        <v>30150.08553333334</v>
      </c>
      <c r="AB48" s="20">
        <f>AB42+AB23-AB44-AB45</f>
        <v>30103.171299333335</v>
      </c>
      <c r="AC48" s="20">
        <f>AC42+AC23-AC44-AC45</f>
        <v>30103.171299333335</v>
      </c>
      <c r="AD48" s="20">
        <f>AD42+AD23-AD44-AD45</f>
        <v>30103.171299333335</v>
      </c>
      <c r="AE48" s="20">
        <f>AE42+AE23-AE44-AE45</f>
        <v>30103.171299333335</v>
      </c>
      <c r="AF48" s="20">
        <f>AF42+AF23-AF44-AF45</f>
        <v>30103.171299333335</v>
      </c>
      <c r="AG48" s="20">
        <f>AG42+AG23-AG44-AG45</f>
        <v>30103.171299333335</v>
      </c>
      <c r="AH48" s="20">
        <f>AH42+AH23-AH44-AH45</f>
        <v>30103.171299333335</v>
      </c>
      <c r="AI48" s="20">
        <f>AI42+AI23-AI44-AI45</f>
        <v>30103.171299333335</v>
      </c>
      <c r="AJ48" s="20">
        <f>AJ42+AJ23-AJ44-AJ45</f>
        <v>30103.171299333335</v>
      </c>
      <c r="AK48" s="20">
        <f>AK42+AK23-AK44-AK45</f>
        <v>30103.171299333335</v>
      </c>
      <c r="AL48" s="20">
        <f>AL42+AL23-AL44-AL45</f>
        <v>30103.171299333335</v>
      </c>
      <c r="AM48" s="20">
        <f>AM42+AM23-AM44-AM45</f>
        <v>30103.171299333335</v>
      </c>
      <c r="AN48" s="20">
        <f>AN42+AN23-AN44-AN45</f>
        <v>30054.849638313346</v>
      </c>
      <c r="AO48" s="20">
        <f>AO42+AO23-AO44-AO45</f>
        <v>30054.84963831334</v>
      </c>
      <c r="AP48" s="20">
        <f>AP42+AP23-AP44-AP45</f>
        <v>30054.84963831334</v>
      </c>
      <c r="AQ48" s="20">
        <f>AQ42+AQ23-AQ44-AQ45</f>
        <v>30054.84963831334</v>
      </c>
      <c r="AR48" s="20">
        <f>AR42+AR23-AR44-AR45</f>
        <v>30054.84963831334</v>
      </c>
      <c r="AS48" s="20">
        <f>AS42+AS23-AS44-AS45</f>
        <v>30054.84963831334</v>
      </c>
      <c r="AT48" s="20">
        <f>AT42+AT23-AT44-AT45</f>
        <v>30054.84963831334</v>
      </c>
      <c r="AU48" s="20">
        <f>AU42+AU23-AU44-AU45</f>
        <v>30054.84963831334</v>
      </c>
    </row>
    <row r="49" spans="1:47">
      <c r="A49" s="19" t="s">
        <v>273</v>
      </c>
      <c r="B49" s="12" t="s">
        <v>119</v>
      </c>
      <c r="C49" s="14" t="s">
        <v>274</v>
      </c>
      <c r="D49" s="20">
        <f>'Inputs'!$F$40+D48</f>
        <v>10961.567640000001</v>
      </c>
      <c r="E49" s="20">
        <f>D49+E48</f>
        <v>21950.710232800004</v>
      </c>
      <c r="F49" s="20">
        <f>E49+F48</f>
        <v>33072.995387456</v>
      </c>
      <c r="G49" s="20">
        <f>F49+G48</f>
        <v>38531.84971050512</v>
      </c>
      <c r="H49" s="20">
        <f>G49+H48</f>
        <v>44130.79125327422</v>
      </c>
      <c r="I49" s="20">
        <f>H49+I48</f>
        <v>53522.211713709235</v>
      </c>
      <c r="J49" s="20">
        <f>I49+J48</f>
        <v>65445.053372839146</v>
      </c>
      <c r="K49" s="20">
        <f>J49+K48</f>
        <v>79859.31264244972</v>
      </c>
      <c r="L49" s="20">
        <f>K49+L48</f>
        <v>100181.54008900838</v>
      </c>
      <c r="M49" s="20">
        <f>L49+M48</f>
        <v>122650.34027316354</v>
      </c>
      <c r="N49" s="20">
        <f>M49+N48</f>
        <v>147236.02693983022</v>
      </c>
      <c r="O49" s="20">
        <f>N49+O48</f>
        <v>174046.1536064969</v>
      </c>
      <c r="P49" s="20">
        <f>O49+P48</f>
        <v>200810.73247316357</v>
      </c>
      <c r="Q49" s="20">
        <f>P49+Q48</f>
        <v>227575.31133983025</v>
      </c>
      <c r="R49" s="20">
        <f>Q49+R48</f>
        <v>254339.89020649693</v>
      </c>
      <c r="S49" s="20">
        <f>R49+S48</f>
        <v>284489.9757398303</v>
      </c>
      <c r="T49" s="20">
        <f>S49+T48</f>
        <v>314640.06127316365</v>
      </c>
      <c r="U49" s="20">
        <f>T49+U48</f>
        <v>344790.146806497</v>
      </c>
      <c r="V49" s="20">
        <f>U49+V48</f>
        <v>374940.23233983037</v>
      </c>
      <c r="W49" s="20">
        <f>V49+W48</f>
        <v>405090.31787316373</v>
      </c>
      <c r="X49" s="20">
        <f>W49+X48</f>
        <v>435240.4034064971</v>
      </c>
      <c r="Y49" s="20">
        <f>X49+Y48</f>
        <v>465390.48893983045</v>
      </c>
      <c r="Z49" s="20">
        <f>Y49+Z48</f>
        <v>495540.5744731638</v>
      </c>
      <c r="AA49" s="20">
        <f>Z49+AA48</f>
        <v>525690.6600064972</v>
      </c>
      <c r="AB49" s="20">
        <f>AA49+AB48</f>
        <v>555793.8313058305</v>
      </c>
      <c r="AC49" s="20">
        <f>AB49+AC48</f>
        <v>585897.0026051638</v>
      </c>
      <c r="AD49" s="20">
        <f>AC49+AD48</f>
        <v>616000.1739044972</v>
      </c>
      <c r="AE49" s="20">
        <f>AD49+AE48</f>
        <v>646103.3452038305</v>
      </c>
      <c r="AF49" s="20">
        <f>AE49+AF48</f>
        <v>676206.5165031638</v>
      </c>
      <c r="AG49" s="20">
        <f>AF49+AG48</f>
        <v>706309.6878024972</v>
      </c>
      <c r="AH49" s="20">
        <f>AG49+AH48</f>
        <v>736412.8591018305</v>
      </c>
      <c r="AI49" s="20">
        <f>AH49+AI48</f>
        <v>766516.0304011639</v>
      </c>
      <c r="AJ49" s="20">
        <f>AI49+AJ48</f>
        <v>796619.2017004972</v>
      </c>
      <c r="AK49" s="20">
        <f>AJ49+AK48</f>
        <v>826722.3729998305</v>
      </c>
      <c r="AL49" s="20">
        <f>AK49+AL48</f>
        <v>856825.5442991639</v>
      </c>
      <c r="AM49" s="20">
        <f>AL49+AM48</f>
        <v>886928.7155984972</v>
      </c>
      <c r="AN49" s="20">
        <f>AM49+AN48</f>
        <v>916983.5652368106</v>
      </c>
      <c r="AO49" s="20">
        <f>AN49+AO48</f>
        <v>947038.4148751239</v>
      </c>
      <c r="AP49" s="20">
        <f>AO49+AP48</f>
        <v>977093.2645134372</v>
      </c>
      <c r="AQ49" s="20">
        <f>AP49+AQ48</f>
        <v>1007148.1141517505</v>
      </c>
      <c r="AR49" s="20">
        <f>AQ49+AR48</f>
        <v>1037202.9637900637</v>
      </c>
      <c r="AS49" s="20">
        <f>AR49+AS48</f>
        <v>1067257.813428377</v>
      </c>
      <c r="AT49" s="20">
        <f>AS49+AT48</f>
        <v>1097312.6630666903</v>
      </c>
      <c r="AU49" s="20">
        <f>AT49+AU48</f>
        <v>1127367.5127050036</v>
      </c>
    </row>
  </sheetData>
  <mergeCells count="7">
    <mergeCell ref="A1:AU1"/>
    <mergeCell ref="A2:AU2"/>
    <mergeCell ref="A3:AV3"/>
    <mergeCell ref="A6:AV6"/>
    <mergeCell ref="A17:AV17"/>
    <mergeCell ref="A27:AV27"/>
    <mergeCell ref="A39:AV39"/>
  </mergeCells>
  <conditionalFormatting sqref="D26:AU26">
    <cfRule type="cellIs" dxfId="0" priority="1" operator="lessThan">
      <formula>0.3</formula>
    </cfRule>
    <cfRule type="cellIs" dxfId="1" priority="2" operator="greaterThanOrEqual">
      <formula>0.3</formula>
    </cfRule>
  </conditionalFormatting>
  <conditionalFormatting sqref="D35:AU35">
    <cfRule type="cellIs" dxfId="0" priority="3" operator="lessThanOrEqual">
      <formula>0.09</formula>
    </cfRule>
    <cfRule type="cellIs" dxfId="1" priority="4" operator="greaterThan">
      <formula>0.09</formula>
    </cfRule>
  </conditionalFormatting>
  <conditionalFormatting sqref="D43:AU43">
    <cfRule type="cellIs" dxfId="0" priority="5" operator="greaterThanOrEqual">
      <formula>0</formula>
    </cfRule>
    <cfRule type="cellIs" dxfId="1" priority="6" operator="lessThan">
      <formula>0</formula>
    </cfRule>
  </conditionalFormatting>
  <pageMargins left="0.7" right="0.7" top="0.75" bottom="0.75" header="0.3" footer="0.3"/>
  <pageSetup fitToHeight="2" orientation="landscape"/>
  <headerFooter>
    <oddHeader>&amp;LLocal Effort Cooperative&amp;C608 Smith Avenue Pro Forma&amp;R&amp;D</oddHeader>
    <oddFooter>&amp;LInternal planning model&amp;CPage &amp;P of &amp;N&amp;RUpdated 2026-10-01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A7F78"/>
    <pageSetUpPr fitToPage="1"/>
  </sheetPr>
  <dimension ref="A1:P62"/>
  <sheetViews>
    <sheetView showGridLines="0" workbookViewId="0">
      <pane xSplit="1" ySplit="18" topLeftCell="B19" activePane="bottomRight" state="frozen"/>
      <selection pane="topRight" activeCell="B1" sqref="B1"/>
      <selection pane="bottomLeft" activeCell="A19" sqref="A19"/>
      <selection pane="bottomRight"/>
    </sheetView>
  </sheetViews>
  <sheetFormatPr defaultRowHeight="15"/>
  <cols>
    <col min="1" max="1" width="20.7109375" customWidth="1"/>
    <col min="2" max="5" width="18.7109375" customWidth="1"/>
    <col min="6" max="6" width="3.7109375" customWidth="1"/>
    <col min="7" max="16" width="12.7109375" customWidth="1"/>
  </cols>
  <sheetData>
    <row r="1" spans="1:16" ht="30" customHeight="1">
      <c r="A1" s="1" t="s">
        <v>299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300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11" t="s">
        <v>301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>
      <c r="A4" s="10" t="s">
        <v>302</v>
      </c>
      <c r="B4" s="10"/>
      <c r="D4" s="10" t="s">
        <v>303</v>
      </c>
      <c r="E4" s="10"/>
    </row>
    <row r="5" spans="1:16">
      <c r="A5" s="24">
        <f>'Annual Summary'!B8</f>
        <v>198107.91152492058</v>
      </c>
      <c r="B5" s="24"/>
      <c r="D5" s="24">
        <f>'Annual Summary'!C8</f>
        <v>739150.4236005833</v>
      </c>
      <c r="E5" s="24"/>
    </row>
    <row r="6" spans="1:16">
      <c r="A6" s="10" t="s">
        <v>304</v>
      </c>
      <c r="B6" s="10"/>
      <c r="D6" s="10" t="s">
        <v>305</v>
      </c>
      <c r="E6" s="10"/>
    </row>
    <row r="7" spans="1:16">
      <c r="A7" s="24">
        <f>CHOOSE(MATCH('Inputs'!$B$4,{"Downside","Base","Upside"},0),'Model - Downside'!$AU$15,'Model - Base'!$AU$15,'Model - Upside'!$AU$15)</f>
        <v>66042.1052631579</v>
      </c>
      <c r="B7" s="24"/>
      <c r="D7" s="25">
        <f>CHOOSE(MATCH('Inputs'!$B$4,{"Downside","Base","Upside"},0),'Model - Downside'!$AU$43,'Model - Base'!$AU$43,'Model - Upside'!$AU$43)</f>
        <v>0.2966573633723701</v>
      </c>
      <c r="E7" s="25"/>
    </row>
    <row r="8" spans="1:16">
      <c r="A8" s="10" t="s">
        <v>306</v>
      </c>
      <c r="B8" s="10"/>
      <c r="D8" s="10" t="s">
        <v>307</v>
      </c>
      <c r="E8" s="10"/>
    </row>
    <row r="9" spans="1:16">
      <c r="A9" s="24">
        <f>CHOOSE(MATCH('Inputs'!$B$4,{"Downside","Base","Upside"},0),'Model - Downside'!$AU$49,'Model - Base'!$AU$49,'Model - Upside'!$AU$49)</f>
        <v>674335.3379718773</v>
      </c>
      <c r="B9" s="24"/>
      <c r="D9" s="24">
        <f>CHOOSE(MATCH('Inputs'!$B$4,{"Downside","Base","Upside"},0),'Model - Downside'!$AU$47,'Model - Base'!$AU$47,'Model - Upside'!$AU$47)</f>
        <v>0.0</v>
      </c>
      <c r="E9" s="24"/>
    </row>
    <row r="10" spans="1:16">
      <c r="A10" s="10" t="s">
        <v>308</v>
      </c>
      <c r="B10" s="10"/>
      <c r="D10" s="10" t="s">
        <v>309</v>
      </c>
      <c r="E10" s="10"/>
    </row>
    <row r="11" spans="1:16">
      <c r="A11" s="25">
        <f>'Annual Summary'!C21</f>
        <v>0.28465331965073626</v>
      </c>
      <c r="B11" s="25"/>
      <c r="D11" s="25">
        <f>'Annual Summary'!C22</f>
        <v>0.09737118683074258</v>
      </c>
      <c r="E11" s="25"/>
    </row>
    <row r="18" spans="1:5">
      <c r="A18" s="4" t="s">
        <v>310</v>
      </c>
      <c r="B18" s="4" t="s">
        <v>214</v>
      </c>
      <c r="C18" s="4" t="s">
        <v>259</v>
      </c>
      <c r="D18" s="4" t="s">
        <v>232</v>
      </c>
      <c r="E18" s="4" t="s">
        <v>247</v>
      </c>
    </row>
    <row r="19" spans="1:5">
      <c r="A19" s="26">
        <v>46296</v>
      </c>
      <c r="B19" s="21">
        <f>CHOOSE(MATCH('Inputs'!$B$4,{"Downside","Base","Upside"},0),'Model - Downside'!$D$15,'Model - Base'!$D$15,'Model - Upside'!$D$15)</f>
        <v>16484.42</v>
      </c>
      <c r="C19" s="21">
        <f>CHOOSE(MATCH('Inputs'!$B$4,{"Downside","Base","Upside"},0),'Model - Downside'!$D$42,'Model - Base'!$D$42,'Model - Upside'!$D$42)</f>
        <v>-523.2668400000009</v>
      </c>
      <c r="D19" s="22">
        <f>CHOOSE(MATCH('Inputs'!$B$4,{"Downside","Base","Upside"},0),'Model - Downside'!$D$26,'Model - Base'!$D$26,'Model - Upside'!$D$26)</f>
        <v>0.5869750613003066</v>
      </c>
      <c r="E19" s="22">
        <f>CHOOSE(MATCH('Inputs'!$B$4,{"Downside","Base","Upside"},0),'Model - Downside'!$D$35,'Model - Base'!$D$35,'Model - Upside'!$D$35)</f>
        <v>0.29342627338851923</v>
      </c>
    </row>
    <row r="20" spans="1:5">
      <c r="A20" s="26">
        <v>46327</v>
      </c>
      <c r="B20" s="21">
        <f>CHOOSE(MATCH('Inputs'!$B$4,{"Downside","Base","Upside"},0),'Model - Downside'!$E$15,'Model - Base'!$E$15,'Model - Upside'!$E$15)</f>
        <v>16554.7642</v>
      </c>
      <c r="C20" s="21">
        <f>CHOOSE(MATCH('Inputs'!$B$4,{"Downside","Base","Upside"},0),'Model - Downside'!$E$42,'Model - Base'!$E$42,'Model - Upside'!$E$42)</f>
        <v>-481.2010083999983</v>
      </c>
      <c r="D20" s="22">
        <f>CHOOSE(MATCH('Inputs'!$B$4,{"Downside","Base","Upside"},0),'Model - Downside'!$E$26,'Model - Base'!$E$26,'Model - Upside'!$E$26)</f>
        <v>0.585041789625732</v>
      </c>
      <c r="E20" s="22">
        <f>CHOOSE(MATCH('Inputs'!$B$4,{"Downside","Base","Upside"},0),'Model - Downside'!$E$35,'Model - Base'!$E$35,'Model - Upside'!$E$35)</f>
        <v>0.29009966244970276</v>
      </c>
    </row>
    <row r="21" spans="1:5">
      <c r="A21" s="26">
        <v>46357</v>
      </c>
      <c r="B21" s="21">
        <f>CHOOSE(MATCH('Inputs'!$B$4,{"Downside","Base","Upside"},0),'Model - Downside'!$F$15,'Model - Base'!$F$15,'Model - Upside'!$F$15)</f>
        <v>16625.946842</v>
      </c>
      <c r="C21" s="21">
        <f>CHOOSE(MATCH('Inputs'!$B$4,{"Downside","Base","Upside"},0),'Model - Downside'!$F$42,'Model - Base'!$F$42,'Model - Upside'!$F$42)</f>
        <v>-438.63378848399884</v>
      </c>
      <c r="D21" s="22">
        <f>CHOOSE(MATCH('Inputs'!$B$4,{"Downside","Base","Upside"},0),'Model - Downside'!$F$26,'Model - Base'!$F$26,'Model - Upside'!$F$26)</f>
        <v>0.5831021279734704</v>
      </c>
      <c r="E21" s="22">
        <f>CHOOSE(MATCH('Inputs'!$B$4,{"Downside","Base","Upside"},0),'Model - Downside'!$F$35,'Model - Base'!$F$35,'Model - Upside'!$F$35)</f>
        <v>0.28680931265287474</v>
      </c>
    </row>
    <row r="22" spans="1:5">
      <c r="A22" s="26">
        <v>46388</v>
      </c>
      <c r="B22" s="21">
        <f>CHOOSE(MATCH('Inputs'!$B$4,{"Downside","Base","Upside"},0),'Model - Downside'!$G$15,'Model - Base'!$G$15,'Model - Upside'!$G$15)</f>
        <v>20147.97833542</v>
      </c>
      <c r="C22" s="21">
        <f>CHOOSE(MATCH('Inputs'!$B$4,{"Downside","Base","Upside"},0),'Model - Downside'!$G$42,'Model - Base'!$G$42,'Model - Upside'!$G$42)</f>
        <v>-3880.4589554188406</v>
      </c>
      <c r="D22" s="22">
        <f>CHOOSE(MATCH('Inputs'!$B$4,{"Downside","Base","Upside"},0),'Model - Downside'!$G$26,'Model - Base'!$G$26,'Model - Upside'!$G$26)</f>
        <v>0.5042457844227008</v>
      </c>
      <c r="E22" s="22">
        <f>CHOOSE(MATCH('Inputs'!$B$4,{"Downside","Base","Upside"},0),'Model - Downside'!$G$35,'Model - Base'!$G$35,'Model - Upside'!$G$35)</f>
        <v>0.409579217605817</v>
      </c>
    </row>
    <row r="23" spans="1:5">
      <c r="A23" s="26">
        <v>46419</v>
      </c>
      <c r="B23" s="21">
        <f>CHOOSE(MATCH('Inputs'!$B$4,{"Downside","Base","Upside"},0),'Model - Downside'!$H$15,'Model - Base'!$H$15,'Model - Upside'!$H$15)</f>
        <v>20220.8692241492</v>
      </c>
      <c r="C23" s="21">
        <f>CHOOSE(MATCH('Inputs'!$B$4,{"Downside","Base","Upside"},0),'Model - Downside'!$H$42,'Model - Base'!$H$42,'Model - Upside'!$H$42)</f>
        <v>-3836.870203958777</v>
      </c>
      <c r="D23" s="22">
        <f>CHOOSE(MATCH('Inputs'!$B$4,{"Downside","Base","Upside"},0),'Model - Downside'!$H$26,'Model - Base'!$H$26,'Model - Upside'!$H$26)</f>
        <v>0.5029039367626672</v>
      </c>
      <c r="E23" s="22">
        <f>CHOOSE(MATCH('Inputs'!$B$4,{"Downside","Base","Upside"},0),'Model - Downside'!$H$35,'Model - Base'!$H$35,'Model - Upside'!$H$35)</f>
        <v>0.4049295989741193</v>
      </c>
    </row>
    <row r="24" spans="1:5">
      <c r="A24" s="26">
        <v>46447</v>
      </c>
      <c r="B24" s="21">
        <f>CHOOSE(MATCH('Inputs'!$B$4,{"Downside","Base","Upside"},0),'Model - Downside'!$I$15,'Model - Base'!$I$15,'Model - Upside'!$I$15)</f>
        <v>31284.667517161946</v>
      </c>
      <c r="C24" s="21">
        <f>CHOOSE(MATCH('Inputs'!$B$4,{"Downside","Base","Upside"},0),'Model - Downside'!$I$42,'Model - Base'!$I$42,'Model - Upside'!$I$42)</f>
        <v>58.62446181893597</v>
      </c>
      <c r="D24" s="22">
        <f>CHOOSE(MATCH('Inputs'!$B$4,{"Downside","Base","Upside"},0),'Model - Downside'!$I$26,'Model - Base'!$I$26,'Model - Upside'!$I$26)</f>
        <v>0.42673404850429364</v>
      </c>
      <c r="E24" s="22">
        <f>CHOOSE(MATCH('Inputs'!$B$4,{"Downside","Base","Upside"},0),'Model - Downside'!$I$35,'Model - Base'!$I$35,'Model - Upside'!$I$35)</f>
        <v>0.20589467866440392</v>
      </c>
    </row>
    <row r="25" spans="1:5">
      <c r="A25" s="26">
        <v>46478</v>
      </c>
      <c r="B25" s="21">
        <f>CHOOSE(MATCH('Inputs'!$B$4,{"Downside","Base","Upside"},0),'Model - Downside'!$J$15,'Model - Base'!$J$15,'Model - Upside'!$J$15)</f>
        <v>36032.004444185</v>
      </c>
      <c r="C25" s="21">
        <f>CHOOSE(MATCH('Inputs'!$B$4,{"Downside","Base","Upside"},0),'Model - Downside'!$J$42,'Model - Base'!$J$42,'Model - Upside'!$J$42)</f>
        <v>2636.428413192456</v>
      </c>
      <c r="D25" s="22">
        <f>CHOOSE(MATCH('Inputs'!$B$4,{"Downside","Base","Upside"},0),'Model - Downside'!$J$26,'Model - Base'!$J$26,'Model - Upside'!$J$26)</f>
        <v>0.3951482869380136</v>
      </c>
      <c r="E25" s="22">
        <f>CHOOSE(MATCH('Inputs'!$B$4,{"Downside","Base","Upside"},0),'Model - Downside'!$J$35,'Model - Base'!$J$35,'Model - Upside'!$J$35)</f>
        <v>0.16192871897979563</v>
      </c>
    </row>
    <row r="26" spans="1:5">
      <c r="A26" s="26">
        <v>46508</v>
      </c>
      <c r="B26" s="21">
        <f>CHOOSE(MATCH('Inputs'!$B$4,{"Downside","Base","Upside"},0),'Model - Downside'!$K$15,'Model - Base'!$K$15,'Model - Upside'!$K$15)</f>
        <v>40757.260962004424</v>
      </c>
      <c r="C26" s="21">
        <f>CHOOSE(MATCH('Inputs'!$B$4,{"Downside","Base","Upside"},0),'Model - Downside'!$K$42,'Model - Base'!$K$42,'Model - Upside'!$K$42)</f>
        <v>5202.242702368407</v>
      </c>
      <c r="D26" s="22">
        <f>CHOOSE(MATCH('Inputs'!$B$4,{"Downside","Base","Upside"},0),'Model - Downside'!$K$26,'Model - Base'!$K$26,'Model - Upside'!$K$26)</f>
        <v>0.371016291158324</v>
      </c>
      <c r="E26" s="22">
        <f>CHOOSE(MATCH('Inputs'!$B$4,{"Downside","Base","Upside"},0),'Model - Downside'!$K$35,'Model - Base'!$K$35,'Model - Upside'!$K$35)</f>
        <v>0.13354472492862346</v>
      </c>
    </row>
    <row r="27" spans="1:5">
      <c r="A27" s="26">
        <v>46539</v>
      </c>
      <c r="B27" s="21">
        <f>CHOOSE(MATCH('Inputs'!$B$4,{"Downside","Base","Upside"},0),'Model - Downside'!$L$15,'Model - Base'!$L$15,'Model - Upside'!$L$15)</f>
        <v>52196.88006252338</v>
      </c>
      <c r="C27" s="21">
        <f>CHOOSE(MATCH('Inputs'!$B$4,{"Downside","Base","Upside"},0),'Model - Downside'!$L$42,'Model - Base'!$L$42,'Model - Upside'!$L$42)</f>
        <v>10613.955873950195</v>
      </c>
      <c r="D27" s="22">
        <f>CHOOSE(MATCH('Inputs'!$B$4,{"Downside","Base","Upside"},0),'Model - Downside'!$L$26,'Model - Base'!$L$26,'Model - Upside'!$L$26)</f>
        <v>0.3306867489209359</v>
      </c>
      <c r="E27" s="22">
        <f>CHOOSE(MATCH('Inputs'!$B$4,{"Downside","Base","Upside"},0),'Model - Downside'!$L$35,'Model - Base'!$L$35,'Model - Upside'!$L$35)</f>
        <v>0.11459264379906078</v>
      </c>
    </row>
    <row r="28" spans="1:5">
      <c r="A28" s="26">
        <v>46569</v>
      </c>
      <c r="B28" s="21">
        <f>CHOOSE(MATCH('Inputs'!$B$4,{"Downside","Base","Upside"},0),'Model - Downside'!$M$15,'Model - Base'!$M$15,'Model - Upside'!$M$15)</f>
        <v>56164.06985384961</v>
      </c>
      <c r="C28" s="21">
        <f>CHOOSE(MATCH('Inputs'!$B$4,{"Downside","Base","Upside"},0),'Model - Downside'!$M$42,'Model - Base'!$M$42,'Model - Upside'!$M$42)</f>
        <v>12768.139930640335</v>
      </c>
      <c r="D28" s="22">
        <f>CHOOSE(MATCH('Inputs'!$B$4,{"Downside","Base","Upside"},0),'Model - Downside'!$M$26,'Model - Base'!$M$26,'Model - Upside'!$M$26)</f>
        <v>0.32053733124249245</v>
      </c>
      <c r="E28" s="22">
        <f>CHOOSE(MATCH('Inputs'!$B$4,{"Downside","Base","Upside"},0),'Model - Downside'!$M$35,'Model - Base'!$M$35,'Model - Upside'!$M$35)</f>
        <v>0.10386159816985038</v>
      </c>
    </row>
    <row r="29" spans="1:5">
      <c r="A29" s="26">
        <v>46600</v>
      </c>
      <c r="B29" s="21">
        <f>CHOOSE(MATCH('Inputs'!$B$4,{"Downside","Base","Upside"},0),'Model - Downside'!$N$15,'Model - Base'!$N$15,'Model - Upside'!$N$15)</f>
        <v>60115.78947368422</v>
      </c>
      <c r="C29" s="21">
        <f>CHOOSE(MATCH('Inputs'!$B$4,{"Downside","Base","Upside"},0),'Model - Downside'!$N$42,'Model - Base'!$N$42,'Model - Upside'!$N$42)</f>
        <v>14913.923684210527</v>
      </c>
      <c r="D29" s="22">
        <f>CHOOSE(MATCH('Inputs'!$B$4,{"Downside","Base","Upside"},0),'Model - Downside'!$N$26,'Model - Base'!$N$26,'Model - Upside'!$N$26)</f>
        <v>0.3117592365610226</v>
      </c>
      <c r="E29" s="22">
        <f>CHOOSE(MATCH('Inputs'!$B$4,{"Downside","Base","Upside"},0),'Model - Downside'!$N$35,'Model - Base'!$N$35,'Model - Upside'!$N$35)</f>
        <v>0.09499999999999997</v>
      </c>
    </row>
    <row r="30" spans="1:5">
      <c r="A30" s="26">
        <v>46631</v>
      </c>
      <c r="B30" s="21">
        <f>CHOOSE(MATCH('Inputs'!$B$4,{"Downside","Base","Upside"},0),'Model - Downside'!$O$15,'Model - Base'!$O$15,'Model - Upside'!$O$15)</f>
        <v>60115.78947368421</v>
      </c>
      <c r="C30" s="21">
        <f>CHOOSE(MATCH('Inputs'!$B$4,{"Downside","Base","Upside"},0),'Model - Downside'!$O$42,'Model - Base'!$O$42,'Model - Upside'!$O$42)</f>
        <v>16897.7447368421</v>
      </c>
      <c r="D30" s="22">
        <f>CHOOSE(MATCH('Inputs'!$B$4,{"Downside","Base","Upside"},0),'Model - Downside'!$O$26,'Model - Base'!$O$26,'Model - Upside'!$O$26)</f>
        <v>0.27875923656102264</v>
      </c>
      <c r="E30" s="22">
        <f>CHOOSE(MATCH('Inputs'!$B$4,{"Downside","Base","Upside"},0),'Model - Downside'!$O$35,'Model - Base'!$O$35,'Model - Upside'!$O$35)</f>
        <v>0.09499999999999999</v>
      </c>
    </row>
    <row r="31" spans="1:5">
      <c r="A31" s="26">
        <v>46661</v>
      </c>
      <c r="B31" s="21">
        <f>CHOOSE(MATCH('Inputs'!$B$4,{"Downside","Base","Upside"},0),'Model - Downside'!$P$15,'Model - Base'!$P$15,'Model - Upside'!$P$15)</f>
        <v>60115.78947368421</v>
      </c>
      <c r="C31" s="21">
        <f>CHOOSE(MATCH('Inputs'!$B$4,{"Downside","Base","Upside"},0),'Model - Downside'!$P$42,'Model - Base'!$P$42,'Model - Upside'!$P$42)</f>
        <v>16847.136236842103</v>
      </c>
      <c r="D31" s="22">
        <f>CHOOSE(MATCH('Inputs'!$B$4,{"Downside","Base","Upside"},0),'Model - Downside'!$P$26,'Model - Base'!$P$26,'Model - Upside'!$P$26)</f>
        <v>0.27875923656102264</v>
      </c>
      <c r="E31" s="22">
        <f>CHOOSE(MATCH('Inputs'!$B$4,{"Downside","Base","Upside"},0),'Model - Downside'!$P$35,'Model - Base'!$P$35,'Model - Upside'!$P$35)</f>
        <v>0.09499999999999999</v>
      </c>
    </row>
    <row r="32" spans="1:5">
      <c r="A32" s="26">
        <v>46692</v>
      </c>
      <c r="B32" s="21">
        <f>CHOOSE(MATCH('Inputs'!$B$4,{"Downside","Base","Upside"},0),'Model - Downside'!$Q$15,'Model - Base'!$Q$15,'Model - Upside'!$Q$15)</f>
        <v>60115.78947368421</v>
      </c>
      <c r="C32" s="21">
        <f>CHOOSE(MATCH('Inputs'!$B$4,{"Downside","Base","Upside"},0),'Model - Downside'!$Q$42,'Model - Base'!$Q$42,'Model - Upside'!$Q$42)</f>
        <v>16847.136236842103</v>
      </c>
      <c r="D32" s="22">
        <f>CHOOSE(MATCH('Inputs'!$B$4,{"Downside","Base","Upside"},0),'Model - Downside'!$Q$26,'Model - Base'!$Q$26,'Model - Upside'!$Q$26)</f>
        <v>0.27875923656102264</v>
      </c>
      <c r="E32" s="22">
        <f>CHOOSE(MATCH('Inputs'!$B$4,{"Downside","Base","Upside"},0),'Model - Downside'!$Q$35,'Model - Base'!$Q$35,'Model - Upside'!$Q$35)</f>
        <v>0.09499999999999999</v>
      </c>
    </row>
    <row r="33" spans="1:5">
      <c r="A33" s="26">
        <v>46722</v>
      </c>
      <c r="B33" s="21">
        <f>CHOOSE(MATCH('Inputs'!$B$4,{"Downside","Base","Upside"},0),'Model - Downside'!$R$15,'Model - Base'!$R$15,'Model - Upside'!$R$15)</f>
        <v>60115.78947368421</v>
      </c>
      <c r="C33" s="21">
        <f>CHOOSE(MATCH('Inputs'!$B$4,{"Downside","Base","Upside"},0),'Model - Downside'!$R$42,'Model - Base'!$R$42,'Model - Upside'!$R$42)</f>
        <v>16847.136236842103</v>
      </c>
      <c r="D33" s="22">
        <f>CHOOSE(MATCH('Inputs'!$B$4,{"Downside","Base","Upside"},0),'Model - Downside'!$R$26,'Model - Base'!$R$26,'Model - Upside'!$R$26)</f>
        <v>0.27875923656102264</v>
      </c>
      <c r="E33" s="22">
        <f>CHOOSE(MATCH('Inputs'!$B$4,{"Downside","Base","Upside"},0),'Model - Downside'!$R$35,'Model - Base'!$R$35,'Model - Upside'!$R$35)</f>
        <v>0.09499999999999999</v>
      </c>
    </row>
    <row r="34" spans="1:5">
      <c r="A34" s="26">
        <v>46753</v>
      </c>
      <c r="B34" s="21">
        <f>CHOOSE(MATCH('Inputs'!$B$4,{"Downside","Base","Upside"},0),'Model - Downside'!$S$15,'Model - Base'!$S$15,'Model - Upside'!$S$15)</f>
        <v>66042.1052631579</v>
      </c>
      <c r="C34" s="21">
        <f>CHOOSE(MATCH('Inputs'!$B$4,{"Downside","Base","Upside"},0),'Model - Downside'!$S$42,'Model - Base'!$S$42,'Model - Upside'!$S$42)</f>
        <v>19697.694131578955</v>
      </c>
      <c r="D34" s="22">
        <f>CHOOSE(MATCH('Inputs'!$B$4,{"Downside","Base","Upside"},0),'Model - Downside'!$S$26,'Model - Base'!$S$26,'Model - Upside'!$S$26)</f>
        <v>0.26756391456805867</v>
      </c>
      <c r="E34" s="22">
        <f>CHOOSE(MATCH('Inputs'!$B$4,{"Downside","Base","Upside"},0),'Model - Downside'!$S$35,'Model - Base'!$S$35,'Model - Upside'!$S$35)</f>
        <v>0.09500000000000001</v>
      </c>
    </row>
    <row r="35" spans="1:5">
      <c r="A35" s="26">
        <v>46784</v>
      </c>
      <c r="B35" s="21">
        <f>CHOOSE(MATCH('Inputs'!$B$4,{"Downside","Base","Upside"},0),'Model - Downside'!$T$15,'Model - Base'!$T$15,'Model - Upside'!$T$15)</f>
        <v>66042.1052631579</v>
      </c>
      <c r="C35" s="21">
        <f>CHOOSE(MATCH('Inputs'!$B$4,{"Downside","Base","Upside"},0),'Model - Downside'!$T$42,'Model - Base'!$T$42,'Model - Upside'!$T$42)</f>
        <v>19697.694131578948</v>
      </c>
      <c r="D35" s="22">
        <f>CHOOSE(MATCH('Inputs'!$B$4,{"Downside","Base","Upside"},0),'Model - Downside'!$T$26,'Model - Base'!$T$26,'Model - Upside'!$T$26)</f>
        <v>0.26756391456805867</v>
      </c>
      <c r="E35" s="22">
        <f>CHOOSE(MATCH('Inputs'!$B$4,{"Downside","Base","Upside"},0),'Model - Downside'!$T$35,'Model - Base'!$T$35,'Model - Upside'!$T$35)</f>
        <v>0.095</v>
      </c>
    </row>
    <row r="36" spans="1:5">
      <c r="A36" s="26">
        <v>46813</v>
      </c>
      <c r="B36" s="21">
        <f>CHOOSE(MATCH('Inputs'!$B$4,{"Downside","Base","Upside"},0),'Model - Downside'!$U$15,'Model - Base'!$U$15,'Model - Upside'!$U$15)</f>
        <v>66042.1052631579</v>
      </c>
      <c r="C36" s="21">
        <f>CHOOSE(MATCH('Inputs'!$B$4,{"Downside","Base","Upside"},0),'Model - Downside'!$U$42,'Model - Base'!$U$42,'Model - Upside'!$U$42)</f>
        <v>19697.694131578948</v>
      </c>
      <c r="D36" s="22">
        <f>CHOOSE(MATCH('Inputs'!$B$4,{"Downside","Base","Upside"},0),'Model - Downside'!$U$26,'Model - Base'!$U$26,'Model - Upside'!$U$26)</f>
        <v>0.26756391456805867</v>
      </c>
      <c r="E36" s="22">
        <f>CHOOSE(MATCH('Inputs'!$B$4,{"Downside","Base","Upside"},0),'Model - Downside'!$U$35,'Model - Base'!$U$35,'Model - Upside'!$U$35)</f>
        <v>0.095</v>
      </c>
    </row>
    <row r="37" spans="1:5">
      <c r="A37" s="26">
        <v>46844</v>
      </c>
      <c r="B37" s="21">
        <f>CHOOSE(MATCH('Inputs'!$B$4,{"Downside","Base","Upside"},0),'Model - Downside'!$V$15,'Model - Base'!$V$15,'Model - Upside'!$V$15)</f>
        <v>66042.1052631579</v>
      </c>
      <c r="C37" s="21">
        <f>CHOOSE(MATCH('Inputs'!$B$4,{"Downside","Base","Upside"},0),'Model - Downside'!$V$42,'Model - Base'!$V$42,'Model - Upside'!$V$42)</f>
        <v>19697.694131578948</v>
      </c>
      <c r="D37" s="22">
        <f>CHOOSE(MATCH('Inputs'!$B$4,{"Downside","Base","Upside"},0),'Model - Downside'!$V$26,'Model - Base'!$V$26,'Model - Upside'!$V$26)</f>
        <v>0.26756391456805867</v>
      </c>
      <c r="E37" s="22">
        <f>CHOOSE(MATCH('Inputs'!$B$4,{"Downside","Base","Upside"},0),'Model - Downside'!$V$35,'Model - Base'!$V$35,'Model - Upside'!$V$35)</f>
        <v>0.095</v>
      </c>
    </row>
    <row r="38" spans="1:5">
      <c r="A38" s="26">
        <v>46874</v>
      </c>
      <c r="B38" s="21">
        <f>CHOOSE(MATCH('Inputs'!$B$4,{"Downside","Base","Upside"},0),'Model - Downside'!$W$15,'Model - Base'!$W$15,'Model - Upside'!$W$15)</f>
        <v>66042.1052631579</v>
      </c>
      <c r="C38" s="21">
        <f>CHOOSE(MATCH('Inputs'!$B$4,{"Downside","Base","Upside"},0),'Model - Downside'!$W$42,'Model - Base'!$W$42,'Model - Upside'!$W$42)</f>
        <v>19697.694131578948</v>
      </c>
      <c r="D38" s="22">
        <f>CHOOSE(MATCH('Inputs'!$B$4,{"Downside","Base","Upside"},0),'Model - Downside'!$W$26,'Model - Base'!$W$26,'Model - Upside'!$W$26)</f>
        <v>0.26756391456805867</v>
      </c>
      <c r="E38" s="22">
        <f>CHOOSE(MATCH('Inputs'!$B$4,{"Downside","Base","Upside"},0),'Model - Downside'!$W$35,'Model - Base'!$W$35,'Model - Upside'!$W$35)</f>
        <v>0.095</v>
      </c>
    </row>
    <row r="39" spans="1:5">
      <c r="A39" s="26">
        <v>46905</v>
      </c>
      <c r="B39" s="21">
        <f>CHOOSE(MATCH('Inputs'!$B$4,{"Downside","Base","Upside"},0),'Model - Downside'!$X$15,'Model - Base'!$X$15,'Model - Upside'!$X$15)</f>
        <v>66042.1052631579</v>
      </c>
      <c r="C39" s="21">
        <f>CHOOSE(MATCH('Inputs'!$B$4,{"Downside","Base","Upside"},0),'Model - Downside'!$X$42,'Model - Base'!$X$42,'Model - Upside'!$X$42)</f>
        <v>19697.69413157894</v>
      </c>
      <c r="D39" s="22">
        <f>CHOOSE(MATCH('Inputs'!$B$4,{"Downside","Base","Upside"},0),'Model - Downside'!$X$26,'Model - Base'!$X$26,'Model - Upside'!$X$26)</f>
        <v>0.26756391456805867</v>
      </c>
      <c r="E39" s="22">
        <f>CHOOSE(MATCH('Inputs'!$B$4,{"Downside","Base","Upside"},0),'Model - Downside'!$X$35,'Model - Base'!$X$35,'Model - Upside'!$X$35)</f>
        <v>0.09499999999999999</v>
      </c>
    </row>
    <row r="40" spans="1:5">
      <c r="A40" s="26">
        <v>46935</v>
      </c>
      <c r="B40" s="21">
        <f>CHOOSE(MATCH('Inputs'!$B$4,{"Downside","Base","Upside"},0),'Model - Downside'!$Y$15,'Model - Base'!$Y$15,'Model - Upside'!$Y$15)</f>
        <v>66042.1052631579</v>
      </c>
      <c r="C40" s="21">
        <f>CHOOSE(MATCH('Inputs'!$B$4,{"Downside","Base","Upside"},0),'Model - Downside'!$Y$42,'Model - Base'!$Y$42,'Model - Upside'!$Y$42)</f>
        <v>19697.694131578948</v>
      </c>
      <c r="D40" s="22">
        <f>CHOOSE(MATCH('Inputs'!$B$4,{"Downside","Base","Upside"},0),'Model - Downside'!$Y$26,'Model - Base'!$Y$26,'Model - Upside'!$Y$26)</f>
        <v>0.26756391456805867</v>
      </c>
      <c r="E40" s="22">
        <f>CHOOSE(MATCH('Inputs'!$B$4,{"Downside","Base","Upside"},0),'Model - Downside'!$Y$35,'Model - Base'!$Y$35,'Model - Upside'!$Y$35)</f>
        <v>0.095</v>
      </c>
    </row>
    <row r="41" spans="1:5">
      <c r="A41" s="26">
        <v>46966</v>
      </c>
      <c r="B41" s="21">
        <f>CHOOSE(MATCH('Inputs'!$B$4,{"Downside","Base","Upside"},0),'Model - Downside'!$Z$15,'Model - Base'!$Z$15,'Model - Upside'!$Z$15)</f>
        <v>66042.1052631579</v>
      </c>
      <c r="C41" s="21">
        <f>CHOOSE(MATCH('Inputs'!$B$4,{"Downside","Base","Upside"},0),'Model - Downside'!$Z$42,'Model - Base'!$Z$42,'Model - Upside'!$Z$42)</f>
        <v>19697.694131578948</v>
      </c>
      <c r="D41" s="22">
        <f>CHOOSE(MATCH('Inputs'!$B$4,{"Downside","Base","Upside"},0),'Model - Downside'!$Z$26,'Model - Base'!$Z$26,'Model - Upside'!$Z$26)</f>
        <v>0.26756391456805867</v>
      </c>
      <c r="E41" s="22">
        <f>CHOOSE(MATCH('Inputs'!$B$4,{"Downside","Base","Upside"},0),'Model - Downside'!$Z$35,'Model - Base'!$Z$35,'Model - Upside'!$Z$35)</f>
        <v>0.095</v>
      </c>
    </row>
    <row r="42" spans="1:5">
      <c r="A42" s="26">
        <v>46997</v>
      </c>
      <c r="B42" s="21">
        <f>CHOOSE(MATCH('Inputs'!$B$4,{"Downside","Base","Upside"},0),'Model - Downside'!$AA$15,'Model - Base'!$AA$15,'Model - Upside'!$AA$15)</f>
        <v>66042.1052631579</v>
      </c>
      <c r="C42" s="21">
        <f>CHOOSE(MATCH('Inputs'!$B$4,{"Downside","Base","Upside"},0),'Model - Downside'!$AA$42,'Model - Base'!$AA$42,'Model - Upside'!$AA$42)</f>
        <v>19697.694131578948</v>
      </c>
      <c r="D42" s="22">
        <f>CHOOSE(MATCH('Inputs'!$B$4,{"Downside","Base","Upside"},0),'Model - Downside'!$AA$26,'Model - Base'!$AA$26,'Model - Upside'!$AA$26)</f>
        <v>0.26756391456805867</v>
      </c>
      <c r="E42" s="22">
        <f>CHOOSE(MATCH('Inputs'!$B$4,{"Downside","Base","Upside"},0),'Model - Downside'!$AA$35,'Model - Base'!$AA$35,'Model - Upside'!$AA$35)</f>
        <v>0.095</v>
      </c>
    </row>
    <row r="43" spans="1:5">
      <c r="A43" s="26">
        <v>47027</v>
      </c>
      <c r="B43" s="21">
        <f>CHOOSE(MATCH('Inputs'!$B$4,{"Downside","Base","Upside"},0),'Model - Downside'!$AB$15,'Model - Base'!$AB$15,'Model - Upside'!$AB$15)</f>
        <v>66042.1052631579</v>
      </c>
      <c r="C43" s="21">
        <f>CHOOSE(MATCH('Inputs'!$B$4,{"Downside","Base","Upside"},0),'Model - Downside'!$AB$42,'Model - Base'!$AB$42,'Model - Upside'!$AB$42)</f>
        <v>19645.567376578947</v>
      </c>
      <c r="D43" s="22">
        <f>CHOOSE(MATCH('Inputs'!$B$4,{"Downside","Base","Upside"},0),'Model - Downside'!$AB$26,'Model - Base'!$AB$26,'Model - Upside'!$AB$26)</f>
        <v>0.26756391456805867</v>
      </c>
      <c r="E43" s="22">
        <f>CHOOSE(MATCH('Inputs'!$B$4,{"Downside","Base","Upside"},0),'Model - Downside'!$AB$35,'Model - Base'!$AB$35,'Model - Upside'!$AB$35)</f>
        <v>0.095</v>
      </c>
    </row>
    <row r="44" spans="1:5">
      <c r="A44" s="26">
        <v>47058</v>
      </c>
      <c r="B44" s="21">
        <f>CHOOSE(MATCH('Inputs'!$B$4,{"Downside","Base","Upside"},0),'Model - Downside'!$AC$15,'Model - Base'!$AC$15,'Model - Upside'!$AC$15)</f>
        <v>66042.1052631579</v>
      </c>
      <c r="C44" s="21">
        <f>CHOOSE(MATCH('Inputs'!$B$4,{"Downside","Base","Upside"},0),'Model - Downside'!$AC$42,'Model - Base'!$AC$42,'Model - Upside'!$AC$42)</f>
        <v>19645.567376578947</v>
      </c>
      <c r="D44" s="22">
        <f>CHOOSE(MATCH('Inputs'!$B$4,{"Downside","Base","Upside"},0),'Model - Downside'!$AC$26,'Model - Base'!$AC$26,'Model - Upside'!$AC$26)</f>
        <v>0.26756391456805867</v>
      </c>
      <c r="E44" s="22">
        <f>CHOOSE(MATCH('Inputs'!$B$4,{"Downside","Base","Upside"},0),'Model - Downside'!$AC$35,'Model - Base'!$AC$35,'Model - Upside'!$AC$35)</f>
        <v>0.095</v>
      </c>
    </row>
    <row r="45" spans="1:5">
      <c r="A45" s="26">
        <v>47088</v>
      </c>
      <c r="B45" s="21">
        <f>CHOOSE(MATCH('Inputs'!$B$4,{"Downside","Base","Upside"},0),'Model - Downside'!$AD$15,'Model - Base'!$AD$15,'Model - Upside'!$AD$15)</f>
        <v>66042.1052631579</v>
      </c>
      <c r="C45" s="21">
        <f>CHOOSE(MATCH('Inputs'!$B$4,{"Downside","Base","Upside"},0),'Model - Downside'!$AD$42,'Model - Base'!$AD$42,'Model - Upside'!$AD$42)</f>
        <v>19645.567376578947</v>
      </c>
      <c r="D45" s="22">
        <f>CHOOSE(MATCH('Inputs'!$B$4,{"Downside","Base","Upside"},0),'Model - Downside'!$AD$26,'Model - Base'!$AD$26,'Model - Upside'!$AD$26)</f>
        <v>0.26756391456805867</v>
      </c>
      <c r="E45" s="22">
        <f>CHOOSE(MATCH('Inputs'!$B$4,{"Downside","Base","Upside"},0),'Model - Downside'!$AD$35,'Model - Base'!$AD$35,'Model - Upside'!$AD$35)</f>
        <v>0.095</v>
      </c>
    </row>
    <row r="46" spans="1:5">
      <c r="A46" s="26">
        <v>47119</v>
      </c>
      <c r="B46" s="21">
        <f>CHOOSE(MATCH('Inputs'!$B$4,{"Downside","Base","Upside"},0),'Model - Downside'!$AE$15,'Model - Base'!$AE$15,'Model - Upside'!$AE$15)</f>
        <v>66042.1052631579</v>
      </c>
      <c r="C46" s="21">
        <f>CHOOSE(MATCH('Inputs'!$B$4,{"Downside","Base","Upside"},0),'Model - Downside'!$AE$42,'Model - Base'!$AE$42,'Model - Upside'!$AE$42)</f>
        <v>19645.567376578947</v>
      </c>
      <c r="D46" s="22">
        <f>CHOOSE(MATCH('Inputs'!$B$4,{"Downside","Base","Upside"},0),'Model - Downside'!$AE$26,'Model - Base'!$AE$26,'Model - Upside'!$AE$26)</f>
        <v>0.26756391456805867</v>
      </c>
      <c r="E46" s="22">
        <f>CHOOSE(MATCH('Inputs'!$B$4,{"Downside","Base","Upside"},0),'Model - Downside'!$AE$35,'Model - Base'!$AE$35,'Model - Upside'!$AE$35)</f>
        <v>0.095</v>
      </c>
    </row>
    <row r="47" spans="1:5">
      <c r="A47" s="26">
        <v>47150</v>
      </c>
      <c r="B47" s="21">
        <f>CHOOSE(MATCH('Inputs'!$B$4,{"Downside","Base","Upside"},0),'Model - Downside'!$AF$15,'Model - Base'!$AF$15,'Model - Upside'!$AF$15)</f>
        <v>66042.1052631579</v>
      </c>
      <c r="C47" s="21">
        <f>CHOOSE(MATCH('Inputs'!$B$4,{"Downside","Base","Upside"},0),'Model - Downside'!$AF$42,'Model - Base'!$AF$42,'Model - Upside'!$AF$42)</f>
        <v>19645.567376578947</v>
      </c>
      <c r="D47" s="22">
        <f>CHOOSE(MATCH('Inputs'!$B$4,{"Downside","Base","Upside"},0),'Model - Downside'!$AF$26,'Model - Base'!$AF$26,'Model - Upside'!$AF$26)</f>
        <v>0.26756391456805867</v>
      </c>
      <c r="E47" s="22">
        <f>CHOOSE(MATCH('Inputs'!$B$4,{"Downside","Base","Upside"},0),'Model - Downside'!$AF$35,'Model - Base'!$AF$35,'Model - Upside'!$AF$35)</f>
        <v>0.095</v>
      </c>
    </row>
    <row r="48" spans="1:5">
      <c r="A48" s="26">
        <v>47178</v>
      </c>
      <c r="B48" s="21">
        <f>CHOOSE(MATCH('Inputs'!$B$4,{"Downside","Base","Upside"},0),'Model - Downside'!$AG$15,'Model - Base'!$AG$15,'Model - Upside'!$AG$15)</f>
        <v>66042.1052631579</v>
      </c>
      <c r="C48" s="21">
        <f>CHOOSE(MATCH('Inputs'!$B$4,{"Downside","Base","Upside"},0),'Model - Downside'!$AG$42,'Model - Base'!$AG$42,'Model - Upside'!$AG$42)</f>
        <v>19645.567376578954</v>
      </c>
      <c r="D48" s="22">
        <f>CHOOSE(MATCH('Inputs'!$B$4,{"Downside","Base","Upside"},0),'Model - Downside'!$AG$26,'Model - Base'!$AG$26,'Model - Upside'!$AG$26)</f>
        <v>0.26756391456805867</v>
      </c>
      <c r="E48" s="22">
        <f>CHOOSE(MATCH('Inputs'!$B$4,{"Downside","Base","Upside"},0),'Model - Downside'!$AG$35,'Model - Base'!$AG$35,'Model - Upside'!$AG$35)</f>
        <v>0.09500000000000001</v>
      </c>
    </row>
    <row r="49" spans="1:5">
      <c r="A49" s="26">
        <v>47209</v>
      </c>
      <c r="B49" s="21">
        <f>CHOOSE(MATCH('Inputs'!$B$4,{"Downside","Base","Upside"},0),'Model - Downside'!$AH$15,'Model - Base'!$AH$15,'Model - Upside'!$AH$15)</f>
        <v>66042.1052631579</v>
      </c>
      <c r="C49" s="21">
        <f>CHOOSE(MATCH('Inputs'!$B$4,{"Downside","Base","Upside"},0),'Model - Downside'!$AH$42,'Model - Base'!$AH$42,'Model - Upside'!$AH$42)</f>
        <v>19645.567376578947</v>
      </c>
      <c r="D49" s="22">
        <f>CHOOSE(MATCH('Inputs'!$B$4,{"Downside","Base","Upside"},0),'Model - Downside'!$AH$26,'Model - Base'!$AH$26,'Model - Upside'!$AH$26)</f>
        <v>0.26756391456805867</v>
      </c>
      <c r="E49" s="22">
        <f>CHOOSE(MATCH('Inputs'!$B$4,{"Downside","Base","Upside"},0),'Model - Downside'!$AH$35,'Model - Base'!$AH$35,'Model - Upside'!$AH$35)</f>
        <v>0.095</v>
      </c>
    </row>
    <row r="50" spans="1:5">
      <c r="A50" s="26">
        <v>47239</v>
      </c>
      <c r="B50" s="21">
        <f>CHOOSE(MATCH('Inputs'!$B$4,{"Downside","Base","Upside"},0),'Model - Downside'!$AI$15,'Model - Base'!$AI$15,'Model - Upside'!$AI$15)</f>
        <v>66042.1052631579</v>
      </c>
      <c r="C50" s="21">
        <f>CHOOSE(MATCH('Inputs'!$B$4,{"Downside","Base","Upside"},0),'Model - Downside'!$AI$42,'Model - Base'!$AI$42,'Model - Upside'!$AI$42)</f>
        <v>19645.56737657894</v>
      </c>
      <c r="D50" s="22">
        <f>CHOOSE(MATCH('Inputs'!$B$4,{"Downside","Base","Upside"},0),'Model - Downside'!$AI$26,'Model - Base'!$AI$26,'Model - Upside'!$AI$26)</f>
        <v>0.26756391456805867</v>
      </c>
      <c r="E50" s="22">
        <f>CHOOSE(MATCH('Inputs'!$B$4,{"Downside","Base","Upside"},0),'Model - Downside'!$AI$35,'Model - Base'!$AI$35,'Model - Upside'!$AI$35)</f>
        <v>0.09499999999999999</v>
      </c>
    </row>
    <row r="51" spans="1:5">
      <c r="A51" s="26">
        <v>47270</v>
      </c>
      <c r="B51" s="21">
        <f>CHOOSE(MATCH('Inputs'!$B$4,{"Downside","Base","Upside"},0),'Model - Downside'!$AJ$15,'Model - Base'!$AJ$15,'Model - Upside'!$AJ$15)</f>
        <v>66042.1052631579</v>
      </c>
      <c r="C51" s="21">
        <f>CHOOSE(MATCH('Inputs'!$B$4,{"Downside","Base","Upside"},0),'Model - Downside'!$AJ$42,'Model - Base'!$AJ$42,'Model - Upside'!$AJ$42)</f>
        <v>19645.567376578947</v>
      </c>
      <c r="D51" s="22">
        <f>CHOOSE(MATCH('Inputs'!$B$4,{"Downside","Base","Upside"},0),'Model - Downside'!$AJ$26,'Model - Base'!$AJ$26,'Model - Upside'!$AJ$26)</f>
        <v>0.26756391456805867</v>
      </c>
      <c r="E51" s="22">
        <f>CHOOSE(MATCH('Inputs'!$B$4,{"Downside","Base","Upside"},0),'Model - Downside'!$AJ$35,'Model - Base'!$AJ$35,'Model - Upside'!$AJ$35)</f>
        <v>0.095</v>
      </c>
    </row>
    <row r="52" spans="1:5">
      <c r="A52" s="26">
        <v>47300</v>
      </c>
      <c r="B52" s="21">
        <f>CHOOSE(MATCH('Inputs'!$B$4,{"Downside","Base","Upside"},0),'Model - Downside'!$AK$15,'Model - Base'!$AK$15,'Model - Upside'!$AK$15)</f>
        <v>66042.1052631579</v>
      </c>
      <c r="C52" s="21">
        <f>CHOOSE(MATCH('Inputs'!$B$4,{"Downside","Base","Upside"},0),'Model - Downside'!$AK$42,'Model - Base'!$AK$42,'Model - Upside'!$AK$42)</f>
        <v>19645.567376578947</v>
      </c>
      <c r="D52" s="22">
        <f>CHOOSE(MATCH('Inputs'!$B$4,{"Downside","Base","Upside"},0),'Model - Downside'!$AK$26,'Model - Base'!$AK$26,'Model - Upside'!$AK$26)</f>
        <v>0.26756391456805867</v>
      </c>
      <c r="E52" s="22">
        <f>CHOOSE(MATCH('Inputs'!$B$4,{"Downside","Base","Upside"},0),'Model - Downside'!$AK$35,'Model - Base'!$AK$35,'Model - Upside'!$AK$35)</f>
        <v>0.095</v>
      </c>
    </row>
    <row r="53" spans="1:5">
      <c r="A53" s="26">
        <v>47331</v>
      </c>
      <c r="B53" s="21">
        <f>CHOOSE(MATCH('Inputs'!$B$4,{"Downside","Base","Upside"},0),'Model - Downside'!$AL$15,'Model - Base'!$AL$15,'Model - Upside'!$AL$15)</f>
        <v>66042.1052631579</v>
      </c>
      <c r="C53" s="21">
        <f>CHOOSE(MATCH('Inputs'!$B$4,{"Downside","Base","Upside"},0),'Model - Downside'!$AL$42,'Model - Base'!$AL$42,'Model - Upside'!$AL$42)</f>
        <v>19645.567376578947</v>
      </c>
      <c r="D53" s="22">
        <f>CHOOSE(MATCH('Inputs'!$B$4,{"Downside","Base","Upside"},0),'Model - Downside'!$AL$26,'Model - Base'!$AL$26,'Model - Upside'!$AL$26)</f>
        <v>0.26756391456805867</v>
      </c>
      <c r="E53" s="22">
        <f>CHOOSE(MATCH('Inputs'!$B$4,{"Downside","Base","Upside"},0),'Model - Downside'!$AL$35,'Model - Base'!$AL$35,'Model - Upside'!$AL$35)</f>
        <v>0.095</v>
      </c>
    </row>
    <row r="54" spans="1:5">
      <c r="A54" s="26">
        <v>47362</v>
      </c>
      <c r="B54" s="21">
        <f>CHOOSE(MATCH('Inputs'!$B$4,{"Downside","Base","Upside"},0),'Model - Downside'!$AM$15,'Model - Base'!$AM$15,'Model - Upside'!$AM$15)</f>
        <v>66042.1052631579</v>
      </c>
      <c r="C54" s="21">
        <f>CHOOSE(MATCH('Inputs'!$B$4,{"Downside","Base","Upside"},0),'Model - Downside'!$AM$42,'Model - Base'!$AM$42,'Model - Upside'!$AM$42)</f>
        <v>19645.567376578947</v>
      </c>
      <c r="D54" s="22">
        <f>CHOOSE(MATCH('Inputs'!$B$4,{"Downside","Base","Upside"},0),'Model - Downside'!$AM$26,'Model - Base'!$AM$26,'Model - Upside'!$AM$26)</f>
        <v>0.26756391456805867</v>
      </c>
      <c r="E54" s="22">
        <f>CHOOSE(MATCH('Inputs'!$B$4,{"Downside","Base","Upside"},0),'Model - Downside'!$AM$35,'Model - Base'!$AM$35,'Model - Upside'!$AM$35)</f>
        <v>0.095</v>
      </c>
    </row>
    <row r="55" spans="1:5">
      <c r="A55" s="26">
        <v>47392</v>
      </c>
      <c r="B55" s="21">
        <f>CHOOSE(MATCH('Inputs'!$B$4,{"Downside","Base","Upside"},0),'Model - Downside'!$AN$15,'Model - Base'!$AN$15,'Model - Upside'!$AN$15)</f>
        <v>66042.1052631579</v>
      </c>
      <c r="C55" s="21">
        <f>CHOOSE(MATCH('Inputs'!$B$4,{"Downside","Base","Upside"},0),'Model - Downside'!$AN$42,'Model - Base'!$AN$42,'Model - Upside'!$AN$42)</f>
        <v>19591.876818928948</v>
      </c>
      <c r="D55" s="22">
        <f>CHOOSE(MATCH('Inputs'!$B$4,{"Downside","Base","Upside"},0),'Model - Downside'!$AN$26,'Model - Base'!$AN$26,'Model - Upside'!$AN$26)</f>
        <v>0.26756391456805867</v>
      </c>
      <c r="E55" s="22">
        <f>CHOOSE(MATCH('Inputs'!$B$4,{"Downside","Base","Upside"},0),'Model - Downside'!$AN$35,'Model - Base'!$AN$35,'Model - Upside'!$AN$35)</f>
        <v>0.095</v>
      </c>
    </row>
    <row r="56" spans="1:5">
      <c r="A56" s="26">
        <v>47423</v>
      </c>
      <c r="B56" s="21">
        <f>CHOOSE(MATCH('Inputs'!$B$4,{"Downside","Base","Upside"},0),'Model - Downside'!$AO$15,'Model - Base'!$AO$15,'Model - Upside'!$AO$15)</f>
        <v>66042.1052631579</v>
      </c>
      <c r="C56" s="21">
        <f>CHOOSE(MATCH('Inputs'!$B$4,{"Downside","Base","Upside"},0),'Model - Downside'!$AO$42,'Model - Base'!$AO$42,'Model - Upside'!$AO$42)</f>
        <v>19591.876818928948</v>
      </c>
      <c r="D56" s="22">
        <f>CHOOSE(MATCH('Inputs'!$B$4,{"Downside","Base","Upside"},0),'Model - Downside'!$AO$26,'Model - Base'!$AO$26,'Model - Upside'!$AO$26)</f>
        <v>0.26756391456805867</v>
      </c>
      <c r="E56" s="22">
        <f>CHOOSE(MATCH('Inputs'!$B$4,{"Downside","Base","Upside"},0),'Model - Downside'!$AO$35,'Model - Base'!$AO$35,'Model - Upside'!$AO$35)</f>
        <v>0.095</v>
      </c>
    </row>
    <row r="57" spans="1:5">
      <c r="A57" s="26">
        <v>47453</v>
      </c>
      <c r="B57" s="21">
        <f>CHOOSE(MATCH('Inputs'!$B$4,{"Downside","Base","Upside"},0),'Model - Downside'!$AP$15,'Model - Base'!$AP$15,'Model - Upside'!$AP$15)</f>
        <v>66042.1052631579</v>
      </c>
      <c r="C57" s="21">
        <f>CHOOSE(MATCH('Inputs'!$B$4,{"Downside","Base","Upside"},0),'Model - Downside'!$AP$42,'Model - Base'!$AP$42,'Model - Upside'!$AP$42)</f>
        <v>19591.876818928948</v>
      </c>
      <c r="D57" s="22">
        <f>CHOOSE(MATCH('Inputs'!$B$4,{"Downside","Base","Upside"},0),'Model - Downside'!$AP$26,'Model - Base'!$AP$26,'Model - Upside'!$AP$26)</f>
        <v>0.26756391456805867</v>
      </c>
      <c r="E57" s="22">
        <f>CHOOSE(MATCH('Inputs'!$B$4,{"Downside","Base","Upside"},0),'Model - Downside'!$AP$35,'Model - Base'!$AP$35,'Model - Upside'!$AP$35)</f>
        <v>0.095</v>
      </c>
    </row>
    <row r="58" spans="1:5">
      <c r="A58" s="26">
        <v>47484</v>
      </c>
      <c r="B58" s="21">
        <f>CHOOSE(MATCH('Inputs'!$B$4,{"Downside","Base","Upside"},0),'Model - Downside'!$AQ$15,'Model - Base'!$AQ$15,'Model - Upside'!$AQ$15)</f>
        <v>66042.1052631579</v>
      </c>
      <c r="C58" s="21">
        <f>CHOOSE(MATCH('Inputs'!$B$4,{"Downside","Base","Upside"},0),'Model - Downside'!$AQ$42,'Model - Base'!$AQ$42,'Model - Upside'!$AQ$42)</f>
        <v>19591.876818928948</v>
      </c>
      <c r="D58" s="22">
        <f>CHOOSE(MATCH('Inputs'!$B$4,{"Downside","Base","Upside"},0),'Model - Downside'!$AQ$26,'Model - Base'!$AQ$26,'Model - Upside'!$AQ$26)</f>
        <v>0.26756391456805867</v>
      </c>
      <c r="E58" s="22">
        <f>CHOOSE(MATCH('Inputs'!$B$4,{"Downside","Base","Upside"},0),'Model - Downside'!$AQ$35,'Model - Base'!$AQ$35,'Model - Upside'!$AQ$35)</f>
        <v>0.095</v>
      </c>
    </row>
    <row r="59" spans="1:5">
      <c r="A59" s="26">
        <v>47515</v>
      </c>
      <c r="B59" s="21">
        <f>CHOOSE(MATCH('Inputs'!$B$4,{"Downside","Base","Upside"},0),'Model - Downside'!$AR$15,'Model - Base'!$AR$15,'Model - Upside'!$AR$15)</f>
        <v>66042.1052631579</v>
      </c>
      <c r="C59" s="21">
        <f>CHOOSE(MATCH('Inputs'!$B$4,{"Downside","Base","Upside"},0),'Model - Downside'!$AR$42,'Model - Base'!$AR$42,'Model - Upside'!$AR$42)</f>
        <v>19591.876818928948</v>
      </c>
      <c r="D59" s="22">
        <f>CHOOSE(MATCH('Inputs'!$B$4,{"Downside","Base","Upside"},0),'Model - Downside'!$AR$26,'Model - Base'!$AR$26,'Model - Upside'!$AR$26)</f>
        <v>0.26756391456805867</v>
      </c>
      <c r="E59" s="22">
        <f>CHOOSE(MATCH('Inputs'!$B$4,{"Downside","Base","Upside"},0),'Model - Downside'!$AR$35,'Model - Base'!$AR$35,'Model - Upside'!$AR$35)</f>
        <v>0.095</v>
      </c>
    </row>
    <row r="60" spans="1:5">
      <c r="A60" s="26">
        <v>47543</v>
      </c>
      <c r="B60" s="21">
        <f>CHOOSE(MATCH('Inputs'!$B$4,{"Downside","Base","Upside"},0),'Model - Downside'!$AS$15,'Model - Base'!$AS$15,'Model - Upside'!$AS$15)</f>
        <v>66042.1052631579</v>
      </c>
      <c r="C60" s="21">
        <f>CHOOSE(MATCH('Inputs'!$B$4,{"Downside","Base","Upside"},0),'Model - Downside'!$AS$42,'Model - Base'!$AS$42,'Model - Upside'!$AS$42)</f>
        <v>19591.87681892894</v>
      </c>
      <c r="D60" s="22">
        <f>CHOOSE(MATCH('Inputs'!$B$4,{"Downside","Base","Upside"},0),'Model - Downside'!$AS$26,'Model - Base'!$AS$26,'Model - Upside'!$AS$26)</f>
        <v>0.26756391456805867</v>
      </c>
      <c r="E60" s="22">
        <f>CHOOSE(MATCH('Inputs'!$B$4,{"Downside","Base","Upside"},0),'Model - Downside'!$AS$35,'Model - Base'!$AS$35,'Model - Upside'!$AS$35)</f>
        <v>0.09499999999999999</v>
      </c>
    </row>
    <row r="61" spans="1:5">
      <c r="A61" s="26">
        <v>47574</v>
      </c>
      <c r="B61" s="21">
        <f>CHOOSE(MATCH('Inputs'!$B$4,{"Downside","Base","Upside"},0),'Model - Downside'!$AT$15,'Model - Base'!$AT$15,'Model - Upside'!$AT$15)</f>
        <v>66042.1052631579</v>
      </c>
      <c r="C61" s="21">
        <f>CHOOSE(MATCH('Inputs'!$B$4,{"Downside","Base","Upside"},0),'Model - Downside'!$AT$42,'Model - Base'!$AT$42,'Model - Upside'!$AT$42)</f>
        <v>19591.876818928948</v>
      </c>
      <c r="D61" s="22">
        <f>CHOOSE(MATCH('Inputs'!$B$4,{"Downside","Base","Upside"},0),'Model - Downside'!$AT$26,'Model - Base'!$AT$26,'Model - Upside'!$AT$26)</f>
        <v>0.26756391456805867</v>
      </c>
      <c r="E61" s="22">
        <f>CHOOSE(MATCH('Inputs'!$B$4,{"Downside","Base","Upside"},0),'Model - Downside'!$AT$35,'Model - Base'!$AT$35,'Model - Upside'!$AT$35)</f>
        <v>0.095</v>
      </c>
    </row>
    <row r="62" spans="1:5">
      <c r="A62" s="26">
        <v>47604</v>
      </c>
      <c r="B62" s="21">
        <f>CHOOSE(MATCH('Inputs'!$B$4,{"Downside","Base","Upside"},0),'Model - Downside'!$AU$15,'Model - Base'!$AU$15,'Model - Upside'!$AU$15)</f>
        <v>66042.1052631579</v>
      </c>
      <c r="C62" s="21">
        <f>CHOOSE(MATCH('Inputs'!$B$4,{"Downside","Base","Upside"},0),'Model - Downside'!$AU$42,'Model - Base'!$AU$42,'Model - Upside'!$AU$42)</f>
        <v>19591.876818928948</v>
      </c>
      <c r="D62" s="22">
        <f>CHOOSE(MATCH('Inputs'!$B$4,{"Downside","Base","Upside"},0),'Model - Downside'!$AU$26,'Model - Base'!$AU$26,'Model - Upside'!$AU$26)</f>
        <v>0.26756391456805867</v>
      </c>
      <c r="E62" s="22">
        <f>CHOOSE(MATCH('Inputs'!$B$4,{"Downside","Base","Upside"},0),'Model - Downside'!$AU$35,'Model - Base'!$AU$35,'Model - Upside'!$AU$35)</f>
        <v>0.095</v>
      </c>
    </row>
  </sheetData>
  <mergeCells count="19">
    <mergeCell ref="A1:P1"/>
    <mergeCell ref="A2:P2"/>
    <mergeCell ref="A3:P3"/>
    <mergeCell ref="A4:B4"/>
    <mergeCell ref="A5:B5"/>
    <mergeCell ref="D4:E4"/>
    <mergeCell ref="D5:E5"/>
    <mergeCell ref="A6:B6"/>
    <mergeCell ref="A7:B7"/>
    <mergeCell ref="D6:E6"/>
    <mergeCell ref="D7:E7"/>
    <mergeCell ref="A8:B8"/>
    <mergeCell ref="A9:B9"/>
    <mergeCell ref="D8:E8"/>
    <mergeCell ref="D9:E9"/>
    <mergeCell ref="A10:B10"/>
    <mergeCell ref="A11:B11"/>
    <mergeCell ref="D10:E10"/>
    <mergeCell ref="D11:E11"/>
  </mergeCells>
  <conditionalFormatting sqref="D19:D62">
    <cfRule type="cellIs" dxfId="0" priority="1" operator="lessThan">
      <formula>0.3</formula>
    </cfRule>
    <cfRule type="cellIs" dxfId="1" priority="2" operator="greaterThanOrEqual">
      <formula>0.3</formula>
    </cfRule>
  </conditionalFormatting>
  <conditionalFormatting sqref="E19:E62">
    <cfRule type="cellIs" dxfId="0" priority="3" operator="lessThanOrEqual">
      <formula>0.095</formula>
    </cfRule>
    <cfRule type="cellIs" dxfId="1" priority="4" operator="greaterThan">
      <formula>0.095</formula>
    </cfRule>
  </conditionalFormatting>
  <pageMargins left="0.7" right="0.7" top="0.75" bottom="0.75" header="0.3" footer="0.3"/>
  <pageSetup fitToHeight="2" orientation="landscape"/>
  <headerFooter>
    <oddHeader>&amp;LLocal Effort Cooperative&amp;C608 Smith Avenue Pro Forma&amp;R&amp;D</oddHeader>
    <oddFooter>&amp;LInternal planning model&amp;CPage &amp;P of &amp;N&amp;RUpdated 2026-10-01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A7F78"/>
    <pageSetUpPr fitToPage="1"/>
  </sheetPr>
  <dimension ref="A1:E26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37.7109375" customWidth="1"/>
    <col min="2" max="5" width="21.7109375" customWidth="1"/>
  </cols>
  <sheetData>
    <row r="1" spans="1:5" ht="30" customHeight="1">
      <c r="A1" s="1" t="s">
        <v>279</v>
      </c>
      <c r="B1" s="1"/>
      <c r="C1" s="1"/>
      <c r="D1" s="1"/>
      <c r="E1" s="1"/>
    </row>
    <row r="2" spans="1:5">
      <c r="A2" s="2" t="s">
        <v>280</v>
      </c>
      <c r="B2" s="2"/>
      <c r="C2" s="2"/>
      <c r="D2" s="2"/>
      <c r="E2" s="2"/>
    </row>
    <row r="4" spans="1:5">
      <c r="A4" s="10" t="s">
        <v>39</v>
      </c>
      <c r="B4" s="5" t="s">
        <v>281</v>
      </c>
    </row>
    <row r="5" spans="1:5">
      <c r="A5" s="4" t="s">
        <v>282</v>
      </c>
      <c r="B5" s="4" t="s">
        <v>283</v>
      </c>
      <c r="C5" s="4" t="s">
        <v>284</v>
      </c>
      <c r="D5" s="4" t="s">
        <v>285</v>
      </c>
      <c r="E5" s="4" t="s">
        <v>286</v>
      </c>
    </row>
    <row r="6" spans="1:5">
      <c r="A6" s="5" t="s">
        <v>287</v>
      </c>
      <c r="B6" s="11" t="s">
        <v>288</v>
      </c>
      <c r="C6" s="11" t="s">
        <v>289</v>
      </c>
      <c r="D6" s="11" t="s">
        <v>290</v>
      </c>
      <c r="E6" s="11" t="s">
        <v>291</v>
      </c>
    </row>
    <row r="7" spans="1:5">
      <c r="A7" s="4" t="s">
        <v>192</v>
      </c>
      <c r="B7" s="4" t="s">
        <v>283</v>
      </c>
      <c r="C7" s="4" t="s">
        <v>284</v>
      </c>
      <c r="D7" s="4" t="s">
        <v>285</v>
      </c>
      <c r="E7" s="4" t="s">
        <v>286</v>
      </c>
    </row>
    <row r="8" spans="1:5">
      <c r="A8" s="19" t="s">
        <v>214</v>
      </c>
      <c r="B8" s="20">
        <f>CHOOSE(MATCH('Inputs'!$B$4,{"Downside","Base","Upside"},0),SUM('Model - Downside'!$D$15:$K$15),SUM('Model - Base'!$D$15:$K$15),SUM('Model - Upside'!$D$15:$K$15))</f>
        <v>198107.91152492058</v>
      </c>
      <c r="C8" s="20">
        <f>CHOOSE(MATCH('Inputs'!$B$4,{"Downside","Base","Upside"},0),SUM('Model - Downside'!$L$15:$W$15),SUM('Model - Base'!$L$15:$W$15),SUM('Model - Upside'!$L$15:$W$15))</f>
        <v>739150.4236005833</v>
      </c>
      <c r="D8" s="20">
        <f>CHOOSE(MATCH('Inputs'!$B$4,{"Downside","Base","Upside"},0),SUM('Model - Downside'!$X$15:$AI$15),SUM('Model - Base'!$X$15:$AI$15),SUM('Model - Upside'!$X$15:$AI$15))</f>
        <v>792505.2631578945</v>
      </c>
      <c r="E8" s="20">
        <f>CHOOSE(MATCH('Inputs'!$B$4,{"Downside","Base","Upside"},0),SUM('Model - Downside'!$AJ$15:$AU$15),SUM('Model - Base'!$AJ$15:$AU$15),SUM('Model - Upside'!$AJ$15:$AU$15))</f>
        <v>792505.2631578945</v>
      </c>
    </row>
    <row r="9" spans="1:5">
      <c r="A9" s="5" t="s">
        <v>204</v>
      </c>
      <c r="B9" s="21">
        <f>CHOOSE(MATCH('Inputs'!$B$4,{"Downside","Base","Upside"},0),SUM('Model - Downside'!$D$10:$K$10),SUM('Model - Base'!$D$10:$K$10),SUM('Model - Upside'!$D$10:$K$10))</f>
        <v>98057.91152492058</v>
      </c>
      <c r="C9" s="21">
        <f>CHOOSE(MATCH('Inputs'!$B$4,{"Downside","Base","Upside"},0),SUM('Model - Downside'!$L$10:$W$10),SUM('Model - Base'!$L$10:$W$10),SUM('Model - Upside'!$L$10:$W$10))</f>
        <v>573550.4236005835</v>
      </c>
      <c r="D9" s="21">
        <f>CHOOSE(MATCH('Inputs'!$B$4,{"Downside","Base","Upside"},0),SUM('Model - Downside'!$X$10:$AI$10),SUM('Model - Base'!$X$10:$AI$10),SUM('Model - Upside'!$X$10:$AI$10))</f>
        <v>626905.2631578946</v>
      </c>
      <c r="E9" s="21">
        <f>CHOOSE(MATCH('Inputs'!$B$4,{"Downside","Base","Upside"},0),SUM('Model - Downside'!$AJ$10:$AU$10),SUM('Model - Base'!$AJ$10:$AU$10),SUM('Model - Upside'!$AJ$10:$AU$10))</f>
        <v>626905.2631578947</v>
      </c>
    </row>
    <row r="10" spans="1:5">
      <c r="A10" s="5" t="s">
        <v>212</v>
      </c>
      <c r="B10" s="21">
        <f>CHOOSE(MATCH('Inputs'!$B$4,{"Downside","Base","Upside"},0),SUM('Model - Downside'!$D$14:$K$14),SUM('Model - Base'!$D$14:$K$14),SUM('Model - Upside'!$D$14:$K$14))</f>
        <v>100050.0</v>
      </c>
      <c r="C10" s="21">
        <f>CHOOSE(MATCH('Inputs'!$B$4,{"Downside","Base","Upside"},0),SUM('Model - Downside'!$L$14:$W$14),SUM('Model - Base'!$L$14:$W$14),SUM('Model - Upside'!$L$14:$W$14))</f>
        <v>165600.0</v>
      </c>
      <c r="D10" s="21">
        <f>CHOOSE(MATCH('Inputs'!$B$4,{"Downside","Base","Upside"},0),SUM('Model - Downside'!$X$14:$AI$14),SUM('Model - Base'!$X$14:$AI$14),SUM('Model - Upside'!$X$14:$AI$14))</f>
        <v>165600.0</v>
      </c>
      <c r="E10" s="21">
        <f>CHOOSE(MATCH('Inputs'!$B$4,{"Downside","Base","Upside"},0),SUM('Model - Downside'!$AJ$14:$AU$14),SUM('Model - Base'!$AJ$14:$AU$14),SUM('Model - Upside'!$AJ$14:$AU$14))</f>
        <v>165600.0</v>
      </c>
    </row>
    <row r="11" spans="1:5">
      <c r="A11" s="5" t="s">
        <v>216</v>
      </c>
      <c r="B11" s="21">
        <f>CHOOSE(MATCH('Inputs'!$B$4,{"Downside","Base","Upside"},0),SUM('Model - Downside'!$D$16:$K$16),SUM('Model - Base'!$D$16:$K$16),SUM('Model - Upside'!$D$16:$K$16))</f>
        <v>135032.91152492058</v>
      </c>
      <c r="C11" s="21">
        <f>CHOOSE(MATCH('Inputs'!$B$4,{"Downside","Base","Upside"},0),SUM('Model - Downside'!$L$16:$W$16),SUM('Model - Base'!$L$16:$W$16),SUM('Model - Upside'!$L$16:$W$16))</f>
        <v>634750.4236005835</v>
      </c>
      <c r="D11" s="21">
        <f>CHOOSE(MATCH('Inputs'!$B$4,{"Downside","Base","Upside"},0),SUM('Model - Downside'!$X$16:$AI$16),SUM('Model - Base'!$X$16:$AI$16),SUM('Model - Upside'!$X$16:$AI$16))</f>
        <v>688105.2631578945</v>
      </c>
      <c r="E11" s="21">
        <f>CHOOSE(MATCH('Inputs'!$B$4,{"Downside","Base","Upside"},0),SUM('Model - Downside'!$AJ$16:$AU$16),SUM('Model - Base'!$AJ$16:$AU$16),SUM('Model - Upside'!$AJ$16:$AU$16))</f>
        <v>688105.2631578945</v>
      </c>
    </row>
    <row r="12" spans="1:5">
      <c r="A12" s="5" t="s">
        <v>218</v>
      </c>
      <c r="B12" s="21">
        <f>CHOOSE(MATCH('Inputs'!$B$4,{"Downside","Base","Upside"},0),SUM('Model - Downside'!$D$18:$K$18),SUM('Model - Base'!$D$18:$K$18),SUM('Model - Upside'!$D$18:$K$18))</f>
        <v>28356.91142023332</v>
      </c>
      <c r="C12" s="21">
        <f>CHOOSE(MATCH('Inputs'!$B$4,{"Downside","Base","Upside"},0),SUM('Model - Downside'!$L$18:$W$18),SUM('Model - Base'!$L$18:$W$18),SUM('Model - Upside'!$L$18:$W$18))</f>
        <v>133297.58895612255</v>
      </c>
      <c r="D12" s="21">
        <f>CHOOSE(MATCH('Inputs'!$B$4,{"Downside","Base","Upside"},0),SUM('Model - Downside'!$X$18:$AI$18),SUM('Model - Base'!$X$18:$AI$18),SUM('Model - Upside'!$X$18:$AI$18))</f>
        <v>144502.1052631579</v>
      </c>
      <c r="E12" s="21">
        <f>CHOOSE(MATCH('Inputs'!$B$4,{"Downside","Base","Upside"},0),SUM('Model - Downside'!$AJ$18:$AU$18),SUM('Model - Base'!$AJ$18:$AU$18),SUM('Model - Upside'!$AJ$18:$AU$18))</f>
        <v>144502.1052631579</v>
      </c>
    </row>
    <row r="13" spans="1:5">
      <c r="A13" s="5" t="s">
        <v>230</v>
      </c>
      <c r="B13" s="21">
        <f>CHOOSE(MATCH('Inputs'!$B$4,{"Downside","Base","Upside"},0),SUM('Model - Downside'!$D$25:$K$25),SUM('Model - Base'!$D$25:$K$25),SUM('Model - Upside'!$D$25:$K$25))</f>
        <v>92094.31063207384</v>
      </c>
      <c r="C13" s="21">
        <f>CHOOSE(MATCH('Inputs'!$B$4,{"Downside","Base","Upside"},0),SUM('Model - Downside'!$L$25:$W$25),SUM('Model - Base'!$L$25:$W$25),SUM('Model - Upside'!$L$25:$W$25))</f>
        <v>209388.89763436173</v>
      </c>
      <c r="D13" s="21">
        <f>CHOOSE(MATCH('Inputs'!$B$4,{"Downside","Base","Upside"},0),SUM('Model - Downside'!$X$25:$AI$25),SUM('Model - Base'!$X$25:$AI$25),SUM('Model - Upside'!$X$25:$AI$25))</f>
        <v>212045.81052631573</v>
      </c>
      <c r="E13" s="21">
        <f>CHOOSE(MATCH('Inputs'!$B$4,{"Downside","Base","Upside"},0),SUM('Model - Downside'!$AJ$25:$AU$25),SUM('Model - Base'!$AJ$25:$AU$25),SUM('Model - Upside'!$AJ$25:$AU$25))</f>
        <v>212045.81052631573</v>
      </c>
    </row>
    <row r="14" spans="1:5">
      <c r="A14" s="5" t="s">
        <v>243</v>
      </c>
      <c r="B14" s="21">
        <f>CHOOSE(MATCH('Inputs'!$B$4,{"Downside","Base","Upside"},0),SUM('Model - Downside'!$D$33:$K$33),SUM('Model - Base'!$D$33:$K$33),SUM('Model - Upside'!$D$33:$K$33))</f>
        <v>47600.0</v>
      </c>
      <c r="C14" s="21">
        <f>CHOOSE(MATCH('Inputs'!$B$4,{"Downside","Base","Upside"},0),SUM('Model - Downside'!$L$33:$W$33),SUM('Model - Base'!$L$33:$W$33),SUM('Model - Upside'!$L$33:$W$33))</f>
        <v>117415.0</v>
      </c>
      <c r="D14" s="21">
        <f>CHOOSE(MATCH('Inputs'!$B$4,{"Downside","Base","Upside"},0),SUM('Model - Downside'!$X$33:$AI$33),SUM('Model - Base'!$X$33:$AI$33),SUM('Model - Upside'!$X$33:$AI$33))</f>
        <v>121356.0</v>
      </c>
      <c r="E14" s="21">
        <f>CHOOSE(MATCH('Inputs'!$B$4,{"Downside","Base","Upside"},0),SUM('Model - Downside'!$AJ$33:$AU$33),SUM('Model - Base'!$AJ$33:$AU$33),SUM('Model - Upside'!$AJ$33:$AU$33))</f>
        <v>121356.0</v>
      </c>
    </row>
    <row r="15" spans="1:5">
      <c r="A15" s="5" t="s">
        <v>256</v>
      </c>
      <c r="B15" s="21">
        <f>CHOOSE(MATCH('Inputs'!$B$4,{"Downside","Base","Upside"},0),SUM('Model - Downside'!$D$40:$K$40),SUM('Model - Base'!$D$40:$K$40),SUM('Model - Upside'!$D$40:$K$40))</f>
        <v>4377.237345747617</v>
      </c>
      <c r="C15" s="21">
        <f>CHOOSE(MATCH('Inputs'!$B$4,{"Downside","Base","Upside"},0),SUM('Model - Downside'!$L$40:$W$40),SUM('Model - Base'!$L$40:$W$40),SUM('Model - Upside'!$L$40:$W$40))</f>
        <v>19582.512708017504</v>
      </c>
      <c r="D15" s="21">
        <f>CHOOSE(MATCH('Inputs'!$B$4,{"Downside","Base","Upside"},0),SUM('Model - Downside'!$X$40:$AI$40),SUM('Model - Base'!$X$40:$AI$40),SUM('Model - Upside'!$X$40:$AI$40))</f>
        <v>21183.15789473684</v>
      </c>
      <c r="E15" s="21">
        <f>CHOOSE(MATCH('Inputs'!$B$4,{"Downside","Base","Upside"},0),SUM('Model - Downside'!$AJ$40:$AU$40),SUM('Model - Base'!$AJ$40:$AU$40),SUM('Model - Upside'!$AJ$40:$AU$40))</f>
        <v>21183.15789473684</v>
      </c>
    </row>
    <row r="16" spans="1:5">
      <c r="A16" s="5" t="s">
        <v>130</v>
      </c>
      <c r="B16" s="21">
        <f>CHOOSE(MATCH('Inputs'!$B$4,{"Downside","Base","Upside"},0),SUM('Model - Downside'!$D$41:$K$41),SUM('Model - Base'!$D$41:$K$41),SUM('Model - Upside'!$D$41:$K$41))</f>
        <v>13495.600000000002</v>
      </c>
      <c r="C16" s="21">
        <f>CHOOSE(MATCH('Inputs'!$B$4,{"Downside","Base","Upside"},0),SUM('Model - Downside'!$L$41:$W$41),SUM('Model - Base'!$L$41:$W$41),SUM('Model - Upside'!$L$41:$W$41))</f>
        <v>20648.267999999996</v>
      </c>
      <c r="D16" s="21">
        <f>CHOOSE(MATCH('Inputs'!$B$4,{"Downside","Base","Upside"},0),SUM('Model - Downside'!$X$41:$AI$41),SUM('Model - Base'!$X$41:$AI$41),SUM('Model - Upside'!$X$41:$AI$41))</f>
        <v>21267.716040000003</v>
      </c>
      <c r="E16" s="21">
        <f>CHOOSE(MATCH('Inputs'!$B$4,{"Downside","Base","Upside"},0),SUM('Model - Downside'!$AJ$41:$AU$41),SUM('Model - Base'!$AJ$41:$AU$41),SUM('Model - Upside'!$AJ$41:$AU$41))</f>
        <v>21905.7475212</v>
      </c>
    </row>
    <row r="17" spans="1:5">
      <c r="A17" s="19" t="s">
        <v>259</v>
      </c>
      <c r="B17" s="20">
        <f>CHOOSE(MATCH('Inputs'!$B$4,{"Downside","Base","Upside"},0),SUM('Model - Downside'!$D$42:$K$42),SUM('Model - Base'!$D$42:$K$42),SUM('Model - Upside'!$D$42:$K$42))</f>
        <v>-1263.1352188818164</v>
      </c>
      <c r="C17" s="20">
        <f>CHOOSE(MATCH('Inputs'!$B$4,{"Downside","Base","Upside"},0),SUM('Model - Downside'!$L$42:$W$42),SUM('Model - Base'!$L$42:$W$42),SUM('Model - Upside'!$L$42:$W$42))</f>
        <v>204223.64359406428</v>
      </c>
      <c r="D17" s="20">
        <f>CHOOSE(MATCH('Inputs'!$B$4,{"Downside","Base","Upside"},0),SUM('Model - Downside'!$X$42:$AI$42),SUM('Model - Base'!$X$42:$AI$42),SUM('Model - Upside'!$X$42:$AI$42))</f>
        <v>235955.3155389474</v>
      </c>
      <c r="E17" s="20">
        <f>CHOOSE(MATCH('Inputs'!$B$4,{"Downside","Base","Upside"},0),SUM('Model - Downside'!$AJ$42:$AU$42),SUM('Model - Base'!$AJ$42:$AU$42),SUM('Model - Upside'!$AJ$42:$AU$42))</f>
        <v>235317.2840577474</v>
      </c>
    </row>
    <row r="18" spans="1:5">
      <c r="A18" s="5" t="s">
        <v>261</v>
      </c>
      <c r="B18" s="27">
        <f>IFERROR(B17/B8,0)</f>
        <v>-0.006375995835597524</v>
      </c>
      <c r="C18" s="27">
        <f>IFERROR(C17/C8,0)</f>
        <v>0.2762951045867507</v>
      </c>
      <c r="D18" s="27">
        <f>IFERROR(D17/D8,0)</f>
        <v>0.29773343661938173</v>
      </c>
      <c r="E18" s="27">
        <f>IFERROR(E17/E8,0)</f>
        <v>0.2969283549235736</v>
      </c>
    </row>
    <row r="19" spans="1:5">
      <c r="A19" s="19" t="s">
        <v>292</v>
      </c>
      <c r="B19" s="20">
        <f>CHOOSE(MATCH('Inputs'!$B$4,{"Downside","Base","Upside"},0),SUM('Model - Downside'!$D$48:$K$48),SUM('Model - Base'!$D$48:$K$48),SUM('Model - Upside'!$D$48:$K$48))</f>
        <v>-1263.1352188818164</v>
      </c>
      <c r="C19" s="20">
        <f>CHOOSE(MATCH('Inputs'!$B$4,{"Downside","Base","Upside"},0),SUM('Model - Downside'!$L$48:$W$48),SUM('Model - Base'!$L$48:$W$48),SUM('Model - Upside'!$L$48:$W$48))</f>
        <v>204223.64359406428</v>
      </c>
      <c r="D19" s="20">
        <f>CHOOSE(MATCH('Inputs'!$B$4,{"Downside","Base","Upside"},0),SUM('Model - Downside'!$X$48:$AI$48),SUM('Model - Base'!$X$48:$AI$48),SUM('Model - Upside'!$X$48:$AI$48))</f>
        <v>235955.3155389474</v>
      </c>
      <c r="E19" s="20">
        <f>CHOOSE(MATCH('Inputs'!$B$4,{"Downside","Base","Upside"},0),SUM('Model - Downside'!$AJ$48:$AU$48),SUM('Model - Base'!$AJ$48:$AU$48),SUM('Model - Upside'!$AJ$48:$AU$48))</f>
        <v>235317.2840577474</v>
      </c>
    </row>
    <row r="20" spans="1:5">
      <c r="A20" s="19" t="s">
        <v>293</v>
      </c>
      <c r="B20" s="20">
        <f>CHOOSE(MATCH('Inputs'!$B$4,{"Downside","Base","Upside"},0),'Model - Downside'!$K$49,'Model - Base'!$K$49,'Model - Upside'!$K$49)</f>
        <v>-1160.9052188818168</v>
      </c>
      <c r="C20" s="20">
        <f>CHOOSE(MATCH('Inputs'!$B$4,{"Downside","Base","Upside"},0),'Model - Downside'!$W$49,'Model - Base'!$W$49,'Model - Upside'!$W$49)</f>
        <v>203062.73837518247</v>
      </c>
      <c r="D20" s="20">
        <f>CHOOSE(MATCH('Inputs'!$B$4,{"Downside","Base","Upside"},0),'Model - Downside'!$AI$49,'Model - Base'!$AI$49,'Model - Upside'!$AI$49)</f>
        <v>439018.05391412973</v>
      </c>
      <c r="E20" s="20">
        <f>CHOOSE(MATCH('Inputs'!$B$4,{"Downside","Base","Upside"},0),'Model - Downside'!$AU$49,'Model - Base'!$AU$49,'Model - Upside'!$AU$49)</f>
        <v>674335.3379718773</v>
      </c>
    </row>
    <row r="21" spans="1:5">
      <c r="A21" s="5" t="s">
        <v>294</v>
      </c>
      <c r="B21" s="22">
        <f>CHOOSE(MATCH('Inputs'!$B$4,{"Downside","Base","Upside"},0),AVERAGE('Model - Downside'!$D$26:$K$26),AVERAGE('Model - Base'!$D$26:$K$26),AVERAGE('Model - Upside'!$D$26:$K$26))</f>
        <v>0.49439591583568854</v>
      </c>
      <c r="C21" s="22">
        <f>CHOOSE(MATCH('Inputs'!$B$4,{"Downside","Base","Upside"},0),AVERAGE('Model - Downside'!$L$26:$W$26),AVERAGE('Model - Base'!$L$26:$W$26),AVERAGE('Model - Upside'!$L$26:$W$26))</f>
        <v>0.28465331965073626</v>
      </c>
      <c r="D21" s="22">
        <f>CHOOSE(MATCH('Inputs'!$B$4,{"Downside","Base","Upside"},0),AVERAGE('Model - Downside'!$X$26:$AI$26),AVERAGE('Model - Base'!$X$26:$AI$26),AVERAGE('Model - Upside'!$X$26:$AI$26))</f>
        <v>0.26756391456805867</v>
      </c>
      <c r="E21" s="22">
        <f>CHOOSE(MATCH('Inputs'!$B$4,{"Downside","Base","Upside"},0),AVERAGE('Model - Downside'!$AJ$26:$AU$26),AVERAGE('Model - Base'!$AJ$26:$AU$26),AVERAGE('Model - Upside'!$AJ$26:$AU$26))</f>
        <v>0.26756391456805867</v>
      </c>
    </row>
    <row r="22" spans="1:5">
      <c r="A22" s="5" t="s">
        <v>295</v>
      </c>
      <c r="B22" s="22">
        <f>CHOOSE(MATCH('Inputs'!$B$4,{"Downside","Base","Upside"},0),AVERAGE('Model - Downside'!$D$35:$K$35),AVERAGE('Model - Base'!$D$35:$K$35),AVERAGE('Model - Upside'!$D$35:$K$35))</f>
        <v>0.27327652345548203</v>
      </c>
      <c r="C22" s="22">
        <f>CHOOSE(MATCH('Inputs'!$B$4,{"Downside","Base","Upside"},0),AVERAGE('Model - Downside'!$L$35:$W$35),AVERAGE('Model - Base'!$L$35:$W$35),AVERAGE('Model - Upside'!$L$35:$W$35))</f>
        <v>0.09737118683074258</v>
      </c>
      <c r="D22" s="22">
        <f>CHOOSE(MATCH('Inputs'!$B$4,{"Downside","Base","Upside"},0),AVERAGE('Model - Downside'!$X$35:$AI$35),AVERAGE('Model - Base'!$X$35:$AI$35),AVERAGE('Model - Upside'!$X$35:$AI$35))</f>
        <v>0.09499999999999999</v>
      </c>
      <c r="E22" s="22">
        <f>CHOOSE(MATCH('Inputs'!$B$4,{"Downside","Base","Upside"},0),AVERAGE('Model - Downside'!$AJ$35:$AU$35),AVERAGE('Model - Base'!$AJ$35:$AU$35),AVERAGE('Model - Upside'!$AJ$35:$AU$35))</f>
        <v>0.09499999999999999</v>
      </c>
    </row>
    <row r="23" spans="1:5">
      <c r="A23" s="5" t="s">
        <v>296</v>
      </c>
      <c r="B23" s="22">
        <f>CHOOSE(MATCH('Inputs'!$B$4,{"Downside","Base","Upside"},0),AVERAGE('Model - Downside'!$D$34:$K$34),AVERAGE('Model - Base'!$D$34:$K$34),AVERAGE('Model - Upside'!$D$34:$K$34))</f>
        <v>0.2323134221799361</v>
      </c>
      <c r="C23" s="22">
        <f>CHOOSE(MATCH('Inputs'!$B$4,{"Downside","Base","Upside"},0),AVERAGE('Model - Downside'!$L$34:$W$34),AVERAGE('Model - Base'!$L$34:$W$34),AVERAGE('Model - Upside'!$L$34:$W$34))</f>
        <v>0.15941225390537175</v>
      </c>
      <c r="D23" s="22">
        <f>CHOOSE(MATCH('Inputs'!$B$4,{"Downside","Base","Upside"},0),AVERAGE('Model - Downside'!$X$34:$AI$34),AVERAGE('Model - Base'!$X$34:$AI$34),AVERAGE('Model - Upside'!$X$34:$AI$34))</f>
        <v>0.1531295824035703</v>
      </c>
      <c r="E23" s="22">
        <f>CHOOSE(MATCH('Inputs'!$B$4,{"Downside","Base","Upside"},0),AVERAGE('Model - Downside'!$AJ$34:$AU$34),AVERAGE('Model - Base'!$AJ$34:$AU$34),AVERAGE('Model - Upside'!$AJ$34:$AU$34))</f>
        <v>0.1531295824035703</v>
      </c>
    </row>
    <row r="24" spans="1:5">
      <c r="A24" s="5" t="s">
        <v>297</v>
      </c>
      <c r="B24" s="21">
        <f>CHOOSE(MATCH('Inputs'!$B$4,{"Downside","Base","Upside"},0),SUM('Model - Downside'!$D$44:$K$44),SUM('Model - Base'!$D$44:$K$44),SUM('Model - Upside'!$D$44:$K$44))</f>
        <v>60000.0</v>
      </c>
      <c r="C24" s="21">
        <f>CHOOSE(MATCH('Inputs'!$B$4,{"Downside","Base","Upside"},0),SUM('Model - Downside'!$L$44:$W$44),SUM('Model - Base'!$L$44:$W$44),SUM('Model - Upside'!$L$44:$W$44))</f>
        <v>90000.0</v>
      </c>
      <c r="D24" s="21">
        <f>CHOOSE(MATCH('Inputs'!$B$4,{"Downside","Base","Upside"},0),SUM('Model - Downside'!$X$44:$AI$44),SUM('Model - Base'!$X$44:$AI$44),SUM('Model - Upside'!$X$44:$AI$44))</f>
        <v>90000.0</v>
      </c>
      <c r="E24" s="21">
        <f>CHOOSE(MATCH('Inputs'!$B$4,{"Downside","Base","Upside"},0),SUM('Model - Downside'!$AJ$44:$AU$44),SUM('Model - Base'!$AJ$44:$AU$44),SUM('Model - Upside'!$AJ$44:$AU$44))</f>
        <v>90000.0</v>
      </c>
    </row>
    <row r="25" spans="1:5">
      <c r="A25" s="5" t="s">
        <v>265</v>
      </c>
      <c r="B25" s="21">
        <f>CHOOSE(MATCH('Inputs'!$B$4,{"Downside","Base","Upside"},0),SUM('Model - Downside'!$D$45:$K$45),SUM('Model - Base'!$D$45:$K$45),SUM('Model - Upside'!$D$45:$K$45))</f>
        <v>0.0</v>
      </c>
      <c r="C25" s="21">
        <f>CHOOSE(MATCH('Inputs'!$B$4,{"Downside","Base","Upside"},0),SUM('Model - Downside'!$L$45:$W$45),SUM('Model - Base'!$L$45:$W$45),SUM('Model - Upside'!$L$45:$W$45))</f>
        <v>0.0</v>
      </c>
      <c r="D25" s="21">
        <f>CHOOSE(MATCH('Inputs'!$B$4,{"Downside","Base","Upside"},0),SUM('Model - Downside'!$X$45:$AI$45),SUM('Model - Base'!$X$45:$AI$45),SUM('Model - Upside'!$X$45:$AI$45))</f>
        <v>0.0</v>
      </c>
      <c r="E25" s="21">
        <f>CHOOSE(MATCH('Inputs'!$B$4,{"Downside","Base","Upside"},0),SUM('Model - Downside'!$AJ$45:$AU$45),SUM('Model - Base'!$AJ$45:$AU$45),SUM('Model - Upside'!$AJ$45:$AU$45))</f>
        <v>0.0</v>
      </c>
    </row>
    <row r="26" spans="1:5">
      <c r="A26" s="5" t="s">
        <v>298</v>
      </c>
      <c r="B26" s="21">
        <f>CHOOSE(MATCH('Inputs'!$B$4,{"Downside","Base","Upside"},0),'Model - Downside'!$K$47,'Model - Base'!$K$47,'Model - Upside'!$K$47)</f>
        <v>0.0</v>
      </c>
      <c r="C26" s="21">
        <f>CHOOSE(MATCH('Inputs'!$B$4,{"Downside","Base","Upside"},0),'Model - Downside'!$W$47,'Model - Base'!$W$47,'Model - Upside'!$W$47)</f>
        <v>0.0</v>
      </c>
      <c r="D26" s="21">
        <f>CHOOSE(MATCH('Inputs'!$B$4,{"Downside","Base","Upside"},0),'Model - Downside'!$AI$47,'Model - Base'!$AI$47,'Model - Upside'!$AI$47)</f>
        <v>0.0</v>
      </c>
      <c r="E26" s="21">
        <f>CHOOSE(MATCH('Inputs'!$B$4,{"Downside","Base","Upside"},0),'Model - Downside'!$AU$47,'Model - Base'!$AU$47,'Model - Upside'!$AU$47)</f>
        <v>0.0</v>
      </c>
    </row>
  </sheetData>
  <mergeCells count="2">
    <mergeCell ref="A1:E1"/>
    <mergeCell ref="A2:E2"/>
  </mergeCells>
  <conditionalFormatting sqref="B18:E18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B19:E19">
    <cfRule type="cellIs" dxfId="0" priority="3" operator="greaterThanOrEqual">
      <formula>0</formula>
    </cfRule>
    <cfRule type="cellIs" dxfId="1" priority="4" operator="lessThan">
      <formula>0</formula>
    </cfRule>
  </conditionalFormatting>
  <pageMargins left="0.7" right="0.7" top="0.75" bottom="0.75" header="0.3" footer="0.3"/>
  <pageSetup orientation="landscape"/>
  <headerFooter>
    <oddHeader>&amp;LLocal Effort Cooperative&amp;C608 Smith Avenue Pro Forma&amp;R&amp;D</oddHeader>
    <oddFooter>&amp;LInternal planning model&amp;CPage &amp;P of &amp;N&amp;RUpdated 2026-10-01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A7F78"/>
    <pageSetUpPr fitToPage="1"/>
  </sheetPr>
  <dimension ref="A1:H3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5.7109375" customWidth="1"/>
    <col min="2" max="7" width="18.7109375" customWidth="1"/>
    <col min="8" max="8" width="3.7109375" customWidth="1"/>
  </cols>
  <sheetData>
    <row r="1" spans="1:8" ht="30" customHeight="1">
      <c r="A1" s="1" t="s">
        <v>311</v>
      </c>
      <c r="B1" s="1"/>
      <c r="C1" s="1"/>
      <c r="D1" s="1"/>
      <c r="E1" s="1"/>
      <c r="F1" s="1"/>
      <c r="G1" s="1"/>
      <c r="H1" s="1"/>
    </row>
    <row r="2" spans="1:8">
      <c r="A2" s="2" t="s">
        <v>312</v>
      </c>
      <c r="B2" s="2"/>
      <c r="C2" s="2"/>
      <c r="D2" s="2"/>
      <c r="E2" s="2"/>
      <c r="F2" s="2"/>
      <c r="G2" s="2"/>
      <c r="H2" s="2"/>
    </row>
    <row r="4" spans="1:8">
      <c r="A4" s="3" t="s">
        <v>313</v>
      </c>
      <c r="B4" s="3"/>
      <c r="C4" s="3"/>
      <c r="D4" s="3"/>
      <c r="E4" s="3"/>
    </row>
    <row r="5" spans="1:8">
      <c r="A5" s="4" t="s">
        <v>314</v>
      </c>
      <c r="B5" s="4" t="s">
        <v>315</v>
      </c>
      <c r="C5" s="4" t="s">
        <v>316</v>
      </c>
      <c r="D5" s="4" t="s">
        <v>317</v>
      </c>
      <c r="E5" s="4" t="s">
        <v>318</v>
      </c>
    </row>
    <row r="6" spans="1:8">
      <c r="A6" s="23">
        <v>1</v>
      </c>
      <c r="B6" s="21">
        <f>A6*'Inputs'!$E$48</f>
        <v>2400.0</v>
      </c>
      <c r="C6" s="21">
        <f>B6*'Inputs'!$E$12</f>
        <v>432.0</v>
      </c>
      <c r="D6" s="21">
        <f>B6-C6</f>
        <v>1968.0</v>
      </c>
      <c r="E6" s="21">
        <f>D6-'Inputs'!$E$47</f>
        <v>-3032.0</v>
      </c>
    </row>
    <row r="7" spans="1:8">
      <c r="A7" s="23">
        <v>2</v>
      </c>
      <c r="B7" s="21">
        <f>A7*'Inputs'!$E$48</f>
        <v>4800.0</v>
      </c>
      <c r="C7" s="21">
        <f>B7*'Inputs'!$E$12</f>
        <v>864.0</v>
      </c>
      <c r="D7" s="21">
        <f>B7-C7</f>
        <v>3936.0</v>
      </c>
      <c r="E7" s="21">
        <f>D7-'Inputs'!$E$47</f>
        <v>-1064.0</v>
      </c>
    </row>
    <row r="8" spans="1:8">
      <c r="A8" s="23">
        <v>3</v>
      </c>
      <c r="B8" s="21">
        <f>A8*'Inputs'!$E$48</f>
        <v>7200.0</v>
      </c>
      <c r="C8" s="21">
        <f>B8*'Inputs'!$E$12</f>
        <v>1296.0</v>
      </c>
      <c r="D8" s="21">
        <f>B8-C8</f>
        <v>5904.0</v>
      </c>
      <c r="E8" s="21">
        <f>D8-'Inputs'!$E$47</f>
        <v>904.0</v>
      </c>
    </row>
    <row r="9" spans="1:8">
      <c r="A9" s="23">
        <v>4</v>
      </c>
      <c r="B9" s="21">
        <f>A9*'Inputs'!$E$48</f>
        <v>9600.0</v>
      </c>
      <c r="C9" s="21">
        <f>B9*'Inputs'!$E$12</f>
        <v>1728.0</v>
      </c>
      <c r="D9" s="21">
        <f>B9-C9</f>
        <v>7872.0</v>
      </c>
      <c r="E9" s="21">
        <f>D9-'Inputs'!$E$47</f>
        <v>2872.0</v>
      </c>
    </row>
    <row r="10" spans="1:8">
      <c r="A10" s="23">
        <v>5</v>
      </c>
      <c r="B10" s="21">
        <f>A10*'Inputs'!$E$48</f>
        <v>12000.0</v>
      </c>
      <c r="C10" s="21">
        <f>B10*'Inputs'!$E$12</f>
        <v>2160.0</v>
      </c>
      <c r="D10" s="21">
        <f>B10-C10</f>
        <v>9840.0</v>
      </c>
      <c r="E10" s="21">
        <f>D10-'Inputs'!$E$47</f>
        <v>4840.0</v>
      </c>
    </row>
    <row r="13" spans="1:8">
      <c r="A13" s="3" t="s">
        <v>319</v>
      </c>
      <c r="B13" s="3"/>
      <c r="C13" s="3"/>
      <c r="D13" s="3"/>
      <c r="E13" s="3"/>
    </row>
    <row r="14" spans="1:8">
      <c r="A14" s="4" t="s">
        <v>320</v>
      </c>
      <c r="B14" s="4" t="s">
        <v>321</v>
      </c>
      <c r="C14" s="4" t="s">
        <v>322</v>
      </c>
      <c r="D14" s="4" t="s">
        <v>323</v>
      </c>
      <c r="E14" s="4" t="s">
        <v>249</v>
      </c>
    </row>
    <row r="15" spans="1:8">
      <c r="A15" s="5" t="s">
        <v>324</v>
      </c>
      <c r="B15" s="21">
        <f>'Inputs'!$E$41</f>
        <v>400.0</v>
      </c>
      <c r="C15" s="21">
        <f>'Inputs'!$E$8*0</f>
        <v>0.0</v>
      </c>
      <c r="D15" s="22">
        <f>'Inputs'!$E$24</f>
        <v>0.095</v>
      </c>
      <c r="E15" s="21">
        <f>(B15+C15)/D15</f>
        <v>4210.526315789473</v>
      </c>
    </row>
    <row r="16" spans="1:8">
      <c r="A16" s="5" t="s">
        <v>325</v>
      </c>
      <c r="B16" s="21">
        <f>'Inputs'!$E$42</f>
        <v>1800.0</v>
      </c>
      <c r="C16" s="21">
        <f>'Inputs'!$E$8*0</f>
        <v>0.0</v>
      </c>
      <c r="D16" s="22">
        <f>'Inputs'!$E$24</f>
        <v>0.095</v>
      </c>
      <c r="E16" s="21">
        <f>(B16+C16)/D16</f>
        <v>18947.36842105263</v>
      </c>
    </row>
    <row r="17" spans="1:7">
      <c r="A17" s="5" t="s">
        <v>326</v>
      </c>
      <c r="B17" s="21">
        <f>'Inputs'!$E$43</f>
        <v>2600.0</v>
      </c>
      <c r="C17" s="21">
        <f>'Inputs'!$E$8*0</f>
        <v>0.0</v>
      </c>
      <c r="D17" s="22">
        <f>'Inputs'!$E$24</f>
        <v>0.095</v>
      </c>
      <c r="E17" s="21">
        <f>(B17+C17)/D17</f>
        <v>27368.42105263158</v>
      </c>
    </row>
    <row r="18" spans="1:7">
      <c r="A18" s="5" t="s">
        <v>327</v>
      </c>
      <c r="B18" s="21">
        <f>'Inputs'!$E$43</f>
        <v>2600.0</v>
      </c>
      <c r="C18" s="21">
        <f>'Inputs'!$E$8</f>
        <v>1000.0</v>
      </c>
      <c r="D18" s="22">
        <f>'Inputs'!$E$24</f>
        <v>0.095</v>
      </c>
      <c r="E18" s="21">
        <f>(B18+C18)/D18</f>
        <v>37894.73684210526</v>
      </c>
    </row>
    <row r="19" spans="1:7">
      <c r="A19" s="5" t="s">
        <v>328</v>
      </c>
      <c r="B19" s="21">
        <f>'Inputs'!$E$44</f>
        <v>3400.0</v>
      </c>
      <c r="C19" s="21">
        <f>'Inputs'!$E$8</f>
        <v>1000.0</v>
      </c>
      <c r="D19" s="22">
        <f>'Inputs'!$E$24</f>
        <v>0.095</v>
      </c>
      <c r="E19" s="21">
        <f>(B19+C19)/D19</f>
        <v>46315.78947368421</v>
      </c>
    </row>
    <row r="20" spans="1:7">
      <c r="A20" s="5" t="s">
        <v>329</v>
      </c>
      <c r="B20" s="21">
        <f>'Inputs'!$E$45</f>
        <v>3963.0</v>
      </c>
      <c r="C20" s="21">
        <f>'Inputs'!$E$8</f>
        <v>1000.0</v>
      </c>
      <c r="D20" s="22">
        <f>'Inputs'!$E$24</f>
        <v>0.095</v>
      </c>
      <c r="E20" s="21">
        <f>(B20+C20)/D20</f>
        <v>52242.10526315789</v>
      </c>
    </row>
    <row r="23" spans="1:7">
      <c r="A23" s="3" t="s">
        <v>330</v>
      </c>
      <c r="B23" s="3"/>
      <c r="C23" s="3"/>
      <c r="D23" s="3"/>
      <c r="E23" s="3"/>
      <c r="F23" s="3"/>
      <c r="G23" s="3"/>
    </row>
    <row r="24" spans="1:7">
      <c r="A24" s="5" t="s">
        <v>331</v>
      </c>
      <c r="B24" s="21">
        <f>MAX(0,'Model - Base'!S36-'Model - Base'!S7-'Model - Base'!S8)</f>
        <v>44959.5604836452</v>
      </c>
    </row>
    <row r="26" spans="1:7">
      <c r="A26" s="4" t="s">
        <v>99</v>
      </c>
      <c r="B26" s="4">
        <v>16</v>
      </c>
      <c r="C26" s="4">
        <v>18</v>
      </c>
      <c r="D26" s="4">
        <v>20</v>
      </c>
      <c r="E26" s="4">
        <v>22</v>
      </c>
      <c r="F26" s="4">
        <v>24</v>
      </c>
    </row>
    <row r="27" spans="1:7">
      <c r="A27" s="23">
        <v>20</v>
      </c>
      <c r="B27" s="23">
        <f>$B$24/(B$26*$A27)</f>
        <v>140.49862651139125</v>
      </c>
      <c r="C27" s="23">
        <f>$B$24/(C$26*$A27)</f>
        <v>124.88766801012555</v>
      </c>
      <c r="D27" s="23">
        <f>$B$24/(D$26*$A27)</f>
        <v>112.39890120911299</v>
      </c>
      <c r="E27" s="23">
        <f>$B$24/(E$26*$A27)</f>
        <v>102.18081928101181</v>
      </c>
      <c r="F27" s="23">
        <f>$B$24/(F$26*$A27)</f>
        <v>93.66575100759415</v>
      </c>
    </row>
    <row r="28" spans="1:7">
      <c r="A28" s="23">
        <v>22</v>
      </c>
      <c r="B28" s="23">
        <f>$B$24/(B$26*$A28)</f>
        <v>127.72602410126477</v>
      </c>
      <c r="C28" s="23">
        <f>$B$24/(C$26*$A28)</f>
        <v>113.53424364556868</v>
      </c>
      <c r="D28" s="23">
        <f>$B$24/(D$26*$A28)</f>
        <v>102.18081928101181</v>
      </c>
      <c r="E28" s="23">
        <f>$B$24/(E$26*$A28)</f>
        <v>92.89165389182892</v>
      </c>
      <c r="F28" s="23">
        <f>$B$24/(F$26*$A28)</f>
        <v>85.15068273417651</v>
      </c>
    </row>
    <row r="29" spans="1:7">
      <c r="A29" s="23">
        <v>24</v>
      </c>
      <c r="B29" s="23">
        <f>$B$24/(B$26*$A29)</f>
        <v>117.0821887594927</v>
      </c>
      <c r="C29" s="23">
        <f>$B$24/(C$26*$A29)</f>
        <v>104.07305667510462</v>
      </c>
      <c r="D29" s="23">
        <f>$B$24/(D$26*$A29)</f>
        <v>93.66575100759415</v>
      </c>
      <c r="E29" s="23">
        <f>$B$24/(E$26*$A29)</f>
        <v>85.15068273417651</v>
      </c>
      <c r="F29" s="23">
        <f>$B$24/(F$26*$A29)</f>
        <v>78.05479250632847</v>
      </c>
    </row>
    <row r="33" spans="1:7">
      <c r="A33" s="3" t="s">
        <v>332</v>
      </c>
      <c r="B33" s="3"/>
      <c r="C33" s="3"/>
      <c r="D33" s="3"/>
      <c r="E33" s="3"/>
      <c r="F33" s="3"/>
      <c r="G33" s="3"/>
    </row>
    <row r="34" spans="1:7">
      <c r="A34" s="4" t="s">
        <v>333</v>
      </c>
      <c r="B34" s="4" t="s">
        <v>334</v>
      </c>
      <c r="C34" s="4" t="s">
        <v>335</v>
      </c>
      <c r="D34" s="4" t="s">
        <v>336</v>
      </c>
      <c r="E34" s="4" t="s">
        <v>337</v>
      </c>
      <c r="F34" s="4" t="s">
        <v>230</v>
      </c>
      <c r="G34" s="4" t="s">
        <v>338</v>
      </c>
    </row>
    <row r="35" spans="1:7">
      <c r="A35" s="21">
        <v>30000</v>
      </c>
      <c r="B35" s="22">
        <f>'Inputs'!$E$30</f>
        <v>0.14</v>
      </c>
      <c r="C35" s="21">
        <f>A35*B35</f>
        <v>4200.0</v>
      </c>
      <c r="D35" s="21">
        <f>C35*'Inputs'!$E$31</f>
        <v>420.0</v>
      </c>
      <c r="E35" s="21">
        <f>'Inputs'!$E$32</f>
        <v>7500.0</v>
      </c>
      <c r="F35" s="21">
        <f>SUM(C35:E35)</f>
        <v>12120.0</v>
      </c>
      <c r="G35" s="22">
        <f>F35/A35</f>
        <v>0.404</v>
      </c>
    </row>
    <row r="36" spans="1:7">
      <c r="A36" s="21">
        <v>40000</v>
      </c>
      <c r="B36" s="22">
        <f>'Inputs'!$E$30</f>
        <v>0.14</v>
      </c>
      <c r="C36" s="21">
        <f>A36*B36</f>
        <v>5600.000000000001</v>
      </c>
      <c r="D36" s="21">
        <f>C36*'Inputs'!$E$31</f>
        <v>560.0000000000001</v>
      </c>
      <c r="E36" s="21">
        <f>'Inputs'!$E$32</f>
        <v>7500.0</v>
      </c>
      <c r="F36" s="21">
        <f>SUM(C36:E36)</f>
        <v>13660.0</v>
      </c>
      <c r="G36" s="22">
        <f>F36/A36</f>
        <v>0.3415</v>
      </c>
    </row>
    <row r="37" spans="1:7">
      <c r="A37" s="21">
        <v>50000</v>
      </c>
      <c r="B37" s="22">
        <f>'Inputs'!$E$30</f>
        <v>0.14</v>
      </c>
      <c r="C37" s="21">
        <f>A37*B37</f>
        <v>7000.000000000001</v>
      </c>
      <c r="D37" s="21">
        <f>C37*'Inputs'!$E$31</f>
        <v>700.0000000000001</v>
      </c>
      <c r="E37" s="21">
        <f>'Inputs'!$E$32</f>
        <v>7500.0</v>
      </c>
      <c r="F37" s="21">
        <f>SUM(C37:E37)</f>
        <v>15200.0</v>
      </c>
      <c r="G37" s="22">
        <f>F37/A37</f>
        <v>0.304</v>
      </c>
    </row>
    <row r="38" spans="1:7">
      <c r="A38" s="21">
        <v>60000</v>
      </c>
      <c r="B38" s="22">
        <f>'Inputs'!$E$30</f>
        <v>0.14</v>
      </c>
      <c r="C38" s="21">
        <f>A38*B38</f>
        <v>8400.0</v>
      </c>
      <c r="D38" s="21">
        <f>C38*'Inputs'!$E$31</f>
        <v>840.0</v>
      </c>
      <c r="E38" s="21">
        <f>'Inputs'!$E$32</f>
        <v>7500.0</v>
      </c>
      <c r="F38" s="21">
        <f>SUM(C38:E38)</f>
        <v>16740.0</v>
      </c>
      <c r="G38" s="22">
        <f>F38/A38</f>
        <v>0.279</v>
      </c>
    </row>
    <row r="39" spans="1:7">
      <c r="A39" s="21">
        <v>70000</v>
      </c>
      <c r="B39" s="22">
        <f>'Inputs'!$E$30</f>
        <v>0.14</v>
      </c>
      <c r="C39" s="21">
        <f>A39*B39</f>
        <v>9800.000000000002</v>
      </c>
      <c r="D39" s="21">
        <f>C39*'Inputs'!$E$31</f>
        <v>980.0000000000002</v>
      </c>
      <c r="E39" s="21">
        <f>'Inputs'!$E$32</f>
        <v>7500.0</v>
      </c>
      <c r="F39" s="21">
        <f>SUM(C39:E39)</f>
        <v>18280.0</v>
      </c>
      <c r="G39" s="22">
        <f>F39/A39</f>
        <v>0.2611428571428571</v>
      </c>
    </row>
  </sheetData>
  <mergeCells count="6">
    <mergeCell ref="A1:H1"/>
    <mergeCell ref="A2:H2"/>
    <mergeCell ref="A4:E4"/>
    <mergeCell ref="A13:E13"/>
    <mergeCell ref="A23:G23"/>
    <mergeCell ref="A33:G33"/>
  </mergeCells>
  <conditionalFormatting sqref="E6:E10">
    <cfRule type="cellIs" dxfId="0" priority="1" operator="greaterThanOrEqual">
      <formula>0</formula>
    </cfRule>
    <cfRule type="cellIs" dxfId="1" priority="2" operator="lessThan">
      <formula>0</formula>
    </cfRule>
  </conditionalFormatting>
  <conditionalFormatting sqref="G35:G39">
    <cfRule type="cellIs" dxfId="0" priority="3" operator="lessThan">
      <formula>0.3</formula>
    </cfRule>
    <cfRule type="cellIs" dxfId="1" priority="4" operator="greaterThanOrEqual">
      <formula>0.3</formula>
    </cfRule>
  </conditionalFormatting>
  <pageMargins left="0.7" right="0.7" top="0.75" bottom="0.75" header="0.3" footer="0.3"/>
  <pageSetup fitToHeight="2" orientation="landscape"/>
  <headerFooter>
    <oddHeader>&amp;LLocal Effort Cooperative&amp;C608 Smith Avenue Pro Forma&amp;R&amp;D</oddHeader>
    <oddFooter>&amp;LInternal planning model&amp;CPage &amp;P of &amp;N&amp;RUpdated 2026-10-01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A7F78"/>
    <pageSetUpPr fitToPage="1"/>
  </sheetPr>
  <dimension ref="A1:E19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6.7109375" customWidth="1"/>
    <col min="2" max="2" width="17.7109375" customWidth="1"/>
    <col min="3" max="3" width="53.7109375" customWidth="1"/>
    <col min="4" max="5" width="55.7109375" customWidth="1"/>
  </cols>
  <sheetData>
    <row r="1" spans="1:5" ht="30" customHeight="1">
      <c r="A1" s="1" t="s">
        <v>339</v>
      </c>
      <c r="B1" s="1"/>
      <c r="C1" s="1"/>
      <c r="D1" s="1"/>
      <c r="E1" s="1"/>
    </row>
    <row r="2" spans="1:5">
      <c r="A2" s="2" t="s">
        <v>340</v>
      </c>
      <c r="B2" s="2"/>
      <c r="C2" s="2"/>
      <c r="D2" s="2"/>
      <c r="E2" s="2"/>
    </row>
    <row r="4" spans="1:5">
      <c r="A4" s="4" t="s">
        <v>341</v>
      </c>
      <c r="B4" s="4" t="s">
        <v>18</v>
      </c>
      <c r="C4" s="4" t="s">
        <v>342</v>
      </c>
      <c r="D4" s="4" t="s">
        <v>343</v>
      </c>
      <c r="E4" s="4" t="s">
        <v>344</v>
      </c>
    </row>
    <row r="5" spans="1:5" ht="46" customHeight="1">
      <c r="A5" s="14" t="s">
        <v>345</v>
      </c>
      <c r="B5" s="8" t="s">
        <v>22</v>
      </c>
      <c r="C5" s="14" t="s">
        <v>346</v>
      </c>
      <c r="D5" s="14" t="s">
        <v>347</v>
      </c>
      <c r="E5" s="14" t="s">
        <v>348</v>
      </c>
    </row>
    <row r="6" spans="1:5" ht="46" customHeight="1">
      <c r="A6" s="14" t="s">
        <v>345</v>
      </c>
      <c r="B6" s="8" t="s">
        <v>22</v>
      </c>
      <c r="C6" s="14" t="s">
        <v>349</v>
      </c>
      <c r="D6" s="14" t="s">
        <v>350</v>
      </c>
      <c r="E6" s="14" t="s">
        <v>351</v>
      </c>
    </row>
    <row r="7" spans="1:5" ht="46" customHeight="1">
      <c r="A7" s="14" t="s">
        <v>345</v>
      </c>
      <c r="B7" s="8" t="s">
        <v>22</v>
      </c>
      <c r="C7" s="14" t="s">
        <v>352</v>
      </c>
      <c r="D7" s="14" t="s">
        <v>353</v>
      </c>
      <c r="E7" s="14" t="s">
        <v>354</v>
      </c>
    </row>
    <row r="8" spans="1:5" ht="46" customHeight="1">
      <c r="A8" s="14" t="s">
        <v>345</v>
      </c>
      <c r="B8" s="8" t="s">
        <v>20</v>
      </c>
      <c r="C8" s="14" t="s">
        <v>355</v>
      </c>
      <c r="D8" s="14" t="s">
        <v>356</v>
      </c>
      <c r="E8" s="14" t="s">
        <v>357</v>
      </c>
    </row>
    <row r="9" spans="1:5" ht="46" customHeight="1">
      <c r="A9" s="14" t="s">
        <v>358</v>
      </c>
      <c r="B9" s="8" t="s">
        <v>20</v>
      </c>
      <c r="C9" s="14" t="s">
        <v>359</v>
      </c>
      <c r="D9" s="14" t="s">
        <v>360</v>
      </c>
      <c r="E9" s="14" t="s">
        <v>361</v>
      </c>
    </row>
    <row r="10" spans="1:5" ht="46" customHeight="1">
      <c r="A10" s="14" t="s">
        <v>345</v>
      </c>
      <c r="B10" s="8" t="s">
        <v>22</v>
      </c>
      <c r="C10" s="14" t="s">
        <v>362</v>
      </c>
      <c r="D10" s="14" t="s">
        <v>363</v>
      </c>
      <c r="E10" s="14" t="s">
        <v>364</v>
      </c>
    </row>
    <row r="11" spans="1:5" ht="46" customHeight="1">
      <c r="A11" s="14" t="s">
        <v>345</v>
      </c>
      <c r="B11" s="8" t="s">
        <v>24</v>
      </c>
      <c r="C11" s="14" t="s">
        <v>365</v>
      </c>
      <c r="D11" s="14" t="s">
        <v>366</v>
      </c>
      <c r="E11" s="14" t="s">
        <v>367</v>
      </c>
    </row>
    <row r="12" spans="1:5" ht="46" customHeight="1">
      <c r="A12" s="14" t="s">
        <v>358</v>
      </c>
      <c r="B12" s="8" t="s">
        <v>26</v>
      </c>
      <c r="C12" s="14" t="s">
        <v>368</v>
      </c>
      <c r="D12" s="14" t="s">
        <v>369</v>
      </c>
      <c r="E12" s="14" t="s">
        <v>370</v>
      </c>
    </row>
    <row r="13" spans="1:5" ht="46" customHeight="1">
      <c r="A13" s="14" t="s">
        <v>358</v>
      </c>
      <c r="B13" s="8" t="s">
        <v>20</v>
      </c>
      <c r="C13" s="14" t="s">
        <v>371</v>
      </c>
      <c r="D13" s="14" t="s">
        <v>372</v>
      </c>
      <c r="E13" s="14" t="s">
        <v>373</v>
      </c>
    </row>
    <row r="14" spans="1:5" ht="46" customHeight="1">
      <c r="A14" s="14" t="s">
        <v>345</v>
      </c>
      <c r="B14" s="8" t="s">
        <v>24</v>
      </c>
      <c r="C14" s="14" t="s">
        <v>374</v>
      </c>
      <c r="D14" s="14" t="s">
        <v>375</v>
      </c>
      <c r="E14" s="14" t="s">
        <v>376</v>
      </c>
    </row>
    <row r="16" spans="1:5">
      <c r="A16" s="3" t="s">
        <v>377</v>
      </c>
      <c r="B16" s="3" t="s">
        <v>378</v>
      </c>
      <c r="C16" s="3"/>
      <c r="D16" s="3"/>
      <c r="E16" s="3"/>
    </row>
    <row r="17" spans="1:5">
      <c r="A17" s="9" t="s">
        <v>379</v>
      </c>
      <c r="B17" s="9"/>
      <c r="C17" s="9"/>
      <c r="D17" s="9"/>
      <c r="E17" s="9"/>
    </row>
    <row r="18" spans="1:5">
      <c r="A18" s="9"/>
      <c r="B18" s="9"/>
      <c r="C18" s="9"/>
      <c r="D18" s="9"/>
      <c r="E18" s="9"/>
    </row>
    <row r="19" spans="1:5">
      <c r="A19" s="9"/>
      <c r="B19" s="9"/>
      <c r="C19" s="9"/>
      <c r="D19" s="9"/>
      <c r="E19" s="9"/>
    </row>
  </sheetData>
  <autoFilter ref="A4:E14"/>
  <mergeCells count="4">
    <mergeCell ref="A1:E1"/>
    <mergeCell ref="A2:E2"/>
    <mergeCell ref="B16:E16"/>
    <mergeCell ref="A17:E19"/>
  </mergeCells>
  <pageMargins left="0.7" right="0.7" top="0.75" bottom="0.75" header="0.3" footer="0.3"/>
  <pageSetup fitToHeight="2" orientation="landscape"/>
  <headerFooter>
    <oddHeader>&amp;LLocal Effort Cooperative&amp;C608 Smith Avenue Pro Forma&amp;R&amp;D</oddHeader>
    <oddFooter>&amp;LInternal planning model&amp;CPage &amp;P of &amp;N&amp;RUpdated 2026-10-01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17</vt:i4>
      </vt:variant>
    </vt:vector>
  </HeadingPairs>
  <TitlesOfParts>
    <vt:vector size="27" baseType="lpstr">
      <vt:lpstr>Guide</vt:lpstr>
      <vt:lpstr>Inputs</vt:lpstr>
      <vt:lpstr>Historical</vt:lpstr>
      <vt:lpstr>Model - Downside</vt:lpstr>
      <vt:lpstr>Model - Base</vt:lpstr>
      <vt:lpstr>Model - Upside</vt:lpstr>
      <vt:lpstr>Dashboard</vt:lpstr>
      <vt:lpstr>Annual Summary</vt:lpstr>
      <vt:lpstr>Sensitivity</vt:lpstr>
      <vt:lpstr>Sources</vt:lpstr>
      <vt:lpstr>'Annual Summary'!Print_Area</vt:lpstr>
      <vt:lpstr>Dashboard!Print_Area</vt:lpstr>
      <vt:lpstr>Guide!Print_Area</vt:lpstr>
      <vt:lpstr>Historical!Print_Area</vt:lpstr>
      <vt:lpstr>Inputs!Print_Area</vt:lpstr>
      <vt:lpstr>'Model - Base'!Print_Area</vt:lpstr>
      <vt:lpstr>'Model - Downside'!Print_Area</vt:lpstr>
      <vt:lpstr>'Model - Upside'!Print_Area</vt:lpstr>
      <vt:lpstr>Sensitivity!Print_Area</vt:lpstr>
      <vt:lpstr>Sources!Print_Area</vt:lpstr>
      <vt:lpstr>'Annual Summary'!Print_Titles</vt:lpstr>
      <vt:lpstr>Historical!Print_Titles</vt:lpstr>
      <vt:lpstr>Inputs!Print_Titles</vt:lpstr>
      <vt:lpstr>'Model - Base'!Print_Titles</vt:lpstr>
      <vt:lpstr>'Model - Downside'!Print_Titles</vt:lpstr>
      <vt:lpstr>'Model - Upside'!Print_Titles</vt:lpstr>
      <vt:lpstr>Sources!Print_Titles</vt:lpstr>
    </vt:vector>
  </TitlesOfParts>
  <Company>Local Effort Cooperative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Effort — 608 Smith Avenue Three-Year Pro Forma</dc:title>
  <dc:subject>Scenario-based operating and cash model, Oct 2026–May 2030</dc:subject>
  <dc:creator>Local Effort Cooperative</dc:creator>
  <dc:description>Generated deterministically from owner-provided, observed, modeled, and unresolved inputs.</dc:description>
  <cp:lastModifiedBy>Local Effort Cooperative</cp:lastModifiedBy>
  <dcterms:created xsi:type="dcterms:W3CDTF">2026-09-24T00:00:00Z</dcterms:created>
  <dcterms:modified xsi:type="dcterms:W3CDTF">2026-09-24T00:00:00Z</dcterms:modified>
</cp:coreProperties>
</file>